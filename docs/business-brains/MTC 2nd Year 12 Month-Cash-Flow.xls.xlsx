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lve-month cash flow" sheetId="1" r:id="rId4"/>
    <sheet state="visible" name="Instruction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Totals are calculated automatically.</t>
      </text>
    </comment>
  </commentList>
</comments>
</file>

<file path=xl/sharedStrings.xml><?xml version="1.0" encoding="utf-8"?>
<sst xmlns="http://schemas.openxmlformats.org/spreadsheetml/2006/main" count="49" uniqueCount="47">
  <si>
    <t>MTS Cash Flow (2nd Year)</t>
  </si>
  <si>
    <t>Medical Testing Solutions</t>
  </si>
  <si>
    <t>Fiscal Year Begins:</t>
  </si>
  <si>
    <t>Jul=2018</t>
  </si>
  <si>
    <t>Pre-Startup EST</t>
  </si>
  <si>
    <t>Total Item EST</t>
  </si>
  <si>
    <r>
      <rPr>
        <rFont val="Arial"/>
        <b/>
        <sz val="8.0"/>
      </rPr>
      <t>Cash on Hand</t>
    </r>
    <r>
      <rPr>
        <rFont val="Arial"/>
        <b/>
        <sz val="8.0"/>
      </rPr>
      <t xml:space="preserve"> (beginning of month)</t>
    </r>
  </si>
  <si>
    <t>CASH RECEIPTS</t>
  </si>
  <si>
    <t>Cash Sales</t>
  </si>
  <si>
    <t>Collections fm CR accounts</t>
  </si>
  <si>
    <t>Loan/ other cash inj.</t>
  </si>
  <si>
    <t>TOTAL CASH RECEIPTS</t>
  </si>
  <si>
    <r>
      <rPr>
        <rFont val="Arial"/>
        <b/>
        <sz val="8.0"/>
      </rPr>
      <t>Total Cash Available</t>
    </r>
    <r>
      <rPr>
        <rFont val="Arial"/>
        <b/>
        <sz val="8.0"/>
      </rPr>
      <t xml:space="preserve"> (before cash out)</t>
    </r>
  </si>
  <si>
    <t>CASH PAID OUT</t>
  </si>
  <si>
    <t>Purchases DNA Paternity Test</t>
  </si>
  <si>
    <t>Purchases (specify)</t>
  </si>
  <si>
    <t>Gross wages (exact withdrawal)</t>
  </si>
  <si>
    <t>Payroll expenses (taxes, etc.)</t>
  </si>
  <si>
    <t>Outside services</t>
  </si>
  <si>
    <t>Supplies (office &amp; oper.)</t>
  </si>
  <si>
    <t>Repairs &amp; maintenance</t>
  </si>
  <si>
    <t>Advertising</t>
  </si>
  <si>
    <t>Car, delivery &amp; travel</t>
  </si>
  <si>
    <t>Accounting &amp; legal</t>
  </si>
  <si>
    <t>Rent</t>
  </si>
  <si>
    <t>Telephone</t>
  </si>
  <si>
    <t>Utilities</t>
  </si>
  <si>
    <t>Disabilty Insurance</t>
  </si>
  <si>
    <t>Taxes (real estate, etc.)</t>
  </si>
  <si>
    <t>Interest</t>
  </si>
  <si>
    <t>Other expenses (GoDaddy)</t>
  </si>
  <si>
    <t>Other (specify)</t>
  </si>
  <si>
    <t>Miscellaneous</t>
  </si>
  <si>
    <t>SUBTOTAL</t>
  </si>
  <si>
    <t>Loan principal payment</t>
  </si>
  <si>
    <t>Capital purchase (specify)</t>
  </si>
  <si>
    <t>Other startup costs</t>
  </si>
  <si>
    <t>Reserve and/or Escrow</t>
  </si>
  <si>
    <t>Owners' Withdrawal</t>
  </si>
  <si>
    <t>TOTAL CASH PAID OUT</t>
  </si>
  <si>
    <r>
      <rPr>
        <rFont val="Arial"/>
        <b/>
        <sz val="8.0"/>
      </rPr>
      <t xml:space="preserve">Cash Position </t>
    </r>
    <r>
      <rPr>
        <rFont val="Arial"/>
        <b/>
        <sz val="8.0"/>
      </rPr>
      <t>(end of month)</t>
    </r>
  </si>
  <si>
    <t>Number Test Sold</t>
  </si>
  <si>
    <t>Accounts Receivable</t>
  </si>
  <si>
    <t>Bad Debt (end of month)</t>
  </si>
  <si>
    <t>Inventory on hand (eom)</t>
  </si>
  <si>
    <t>Accounts Payable (eom)</t>
  </si>
  <si>
    <t>Depreciation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</si>
</sst>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numFmts>
  <fonts count="7">
    <font>
      <sz val="8.0"/>
      <color rgb="FF000000"/>
      <name val="Arial"/>
    </font>
    <font>
      <sz val="8.0"/>
      <name val="Arial"/>
    </font>
    <font>
      <b/>
      <sz val="19.0"/>
      <name val="Arial"/>
    </font>
    <font>
      <b/>
      <sz val="9.0"/>
      <name val="Arial"/>
    </font>
    <font>
      <sz val="9.0"/>
      <name val="Arial"/>
    </font>
    <font>
      <b/>
      <sz val="8.0"/>
      <name val="Arial"/>
    </font>
    <font/>
  </fonts>
  <fills count="6">
    <fill>
      <patternFill patternType="none"/>
    </fill>
    <fill>
      <patternFill patternType="lightGray"/>
    </fill>
    <fill>
      <patternFill patternType="solid">
        <fgColor rgb="FFFBFAF5"/>
        <bgColor rgb="FFFBFAF5"/>
      </patternFill>
    </fill>
    <fill>
      <patternFill patternType="solid">
        <fgColor rgb="FFBCCCE4"/>
        <bgColor rgb="FFBCCCE4"/>
      </patternFill>
    </fill>
    <fill>
      <patternFill patternType="solid">
        <fgColor rgb="FFFFFFFF"/>
        <bgColor rgb="FFFFFFFF"/>
      </patternFill>
    </fill>
    <fill>
      <patternFill patternType="solid">
        <fgColor rgb="FFEAEAEA"/>
        <bgColor rgb="FFEAEAEA"/>
      </patternFill>
    </fill>
  </fills>
  <borders count="8">
    <border/>
    <border>
      <left style="thin">
        <color rgb="FFC0C0C0"/>
      </left>
      <right style="thin">
        <color rgb="FFC0C0C0"/>
      </right>
      <top style="thin">
        <color rgb="FFC0C0C0"/>
      </top>
      <bottom style="thin">
        <color rgb="FFC0C0C0"/>
      </bottom>
    </border>
    <border>
      <bottom style="thin">
        <color rgb="FFC0C0C0"/>
      </bottom>
    </border>
    <border>
      <left style="thin">
        <color rgb="FFC0C0C0"/>
      </left>
      <right/>
      <top style="thin">
        <color rgb="FFC0C0C0"/>
      </top>
      <bottom style="thin">
        <color rgb="FFC0C0C0"/>
      </bottom>
    </border>
    <border>
      <left/>
      <right/>
      <top style="thin">
        <color rgb="FFC0C0C0"/>
      </top>
      <bottom style="thin">
        <color rgb="FFC0C0C0"/>
      </bottom>
    </border>
    <border>
      <left/>
      <right style="thin">
        <color rgb="FFC0C0C0"/>
      </right>
      <top style="thin">
        <color rgb="FFC0C0C0"/>
      </top>
      <bottom style="thin">
        <color rgb="FFC0C0C0"/>
      </bottom>
    </border>
    <border>
      <top style="thin">
        <color rgb="FFC0C0C0"/>
      </top>
      <bottom style="thin">
        <color rgb="FFC0C0C0"/>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2"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Alignment="1" applyFont="1">
      <alignment shrinkToFit="0" wrapText="0"/>
    </xf>
    <xf borderId="0" fillId="0" fontId="3" numFmtId="0" xfId="0" applyAlignment="1" applyFont="1">
      <alignment horizontal="right" shrinkToFit="0" wrapText="0"/>
    </xf>
    <xf borderId="0" fillId="0" fontId="3" numFmtId="0" xfId="0" applyAlignment="1" applyFont="1">
      <alignment horizontal="right" readingOrder="0" shrinkToFit="0" wrapText="0"/>
    </xf>
    <xf borderId="0" fillId="0" fontId="5" numFmtId="0" xfId="0" applyAlignment="1" applyFont="1">
      <alignment readingOrder="0" shrinkToFit="0" vertical="center" wrapText="1"/>
    </xf>
    <xf borderId="1" fillId="0" fontId="5" numFmtId="0" xfId="0" applyAlignment="1" applyBorder="1" applyFont="1">
      <alignment horizontal="center" shrinkToFit="0" vertical="center" wrapText="1"/>
    </xf>
    <xf borderId="1" fillId="0" fontId="5" numFmtId="17" xfId="0" applyAlignment="1" applyBorder="1" applyFont="1" applyNumberFormat="1">
      <alignment horizontal="center" readingOrder="0" shrinkToFit="0" vertical="center" wrapText="1"/>
    </xf>
    <xf borderId="1" fillId="0" fontId="5" numFmtId="17" xfId="0" applyAlignment="1" applyBorder="1" applyFont="1" applyNumberFormat="1">
      <alignment horizontal="center" shrinkToFit="0" vertical="center" wrapText="1"/>
    </xf>
    <xf borderId="1" fillId="0" fontId="5" numFmtId="164" xfId="0" applyAlignment="1" applyBorder="1" applyFont="1" applyNumberFormat="1">
      <alignment horizontal="center" shrinkToFit="0" vertical="center" wrapText="1"/>
    </xf>
    <xf borderId="1" fillId="2" fontId="5" numFmtId="0" xfId="0" applyAlignment="1" applyBorder="1" applyFill="1" applyFont="1">
      <alignment shrinkToFit="0" vertical="center" wrapText="1"/>
    </xf>
    <xf borderId="1" fillId="2" fontId="1" numFmtId="3" xfId="0" applyAlignment="1" applyBorder="1" applyFont="1" applyNumberFormat="1">
      <alignment shrinkToFit="0" vertical="center" wrapText="0"/>
    </xf>
    <xf borderId="2" fillId="0" fontId="5" numFmtId="0" xfId="0" applyAlignment="1" applyBorder="1" applyFont="1">
      <alignment shrinkToFit="0" vertical="center" wrapText="1"/>
    </xf>
    <xf borderId="2" fillId="0" fontId="1" numFmtId="3" xfId="0" applyAlignment="1" applyBorder="1" applyFont="1" applyNumberFormat="1">
      <alignment shrinkToFit="0" vertical="center" wrapText="0"/>
    </xf>
    <xf borderId="3" fillId="3" fontId="3" numFmtId="0" xfId="0" applyAlignment="1" applyBorder="1" applyFill="1" applyFont="1">
      <alignment shrinkToFit="0" vertical="center" wrapText="1"/>
    </xf>
    <xf borderId="4" fillId="3" fontId="1" numFmtId="3" xfId="0" applyAlignment="1" applyBorder="1" applyFont="1" applyNumberFormat="1">
      <alignment shrinkToFit="0" vertical="center" wrapText="0"/>
    </xf>
    <xf borderId="5" fillId="3" fontId="1" numFmtId="3" xfId="0" applyAlignment="1" applyBorder="1" applyFont="1" applyNumberFormat="1">
      <alignment shrinkToFit="0" vertical="center" wrapText="0"/>
    </xf>
    <xf borderId="1" fillId="2" fontId="1" numFmtId="0" xfId="0" applyAlignment="1" applyBorder="1" applyFont="1">
      <alignment shrinkToFit="0" vertical="center" wrapText="1"/>
    </xf>
    <xf borderId="1" fillId="2" fontId="1" numFmtId="3" xfId="0" applyAlignment="1" applyBorder="1" applyFont="1" applyNumberFormat="1">
      <alignment readingOrder="0" shrinkToFit="0" vertical="center" wrapText="0"/>
    </xf>
    <xf borderId="0" fillId="2" fontId="0" numFmtId="3" xfId="0" applyAlignment="1" applyFont="1" applyNumberFormat="1">
      <alignment horizontal="right" readingOrder="0"/>
    </xf>
    <xf borderId="1" fillId="4" fontId="1" numFmtId="0" xfId="0" applyAlignment="1" applyBorder="1" applyFill="1" applyFont="1">
      <alignment shrinkToFit="0" vertical="center" wrapText="1"/>
    </xf>
    <xf borderId="1" fillId="4" fontId="1" numFmtId="3" xfId="0" applyAlignment="1" applyBorder="1" applyFont="1" applyNumberFormat="1">
      <alignment shrinkToFit="0" vertical="center" wrapText="0"/>
    </xf>
    <xf borderId="1" fillId="0" fontId="5" numFmtId="0" xfId="0" applyAlignment="1" applyBorder="1" applyFont="1">
      <alignment shrinkToFit="0" vertical="center" wrapText="1"/>
    </xf>
    <xf borderId="1" fillId="5" fontId="1" numFmtId="3" xfId="0" applyAlignment="1" applyBorder="1" applyFill="1" applyFont="1" applyNumberFormat="1">
      <alignment shrinkToFit="0" vertical="center" wrapText="0"/>
    </xf>
    <xf borderId="6" fillId="0" fontId="5" numFmtId="0" xfId="0" applyAlignment="1" applyBorder="1" applyFont="1">
      <alignment shrinkToFit="0" vertical="center" wrapText="1"/>
    </xf>
    <xf borderId="6" fillId="0" fontId="1" numFmtId="3" xfId="0" applyAlignment="1" applyBorder="1" applyFont="1" applyNumberFormat="1">
      <alignment shrinkToFit="0" vertical="center" wrapText="0"/>
    </xf>
    <xf borderId="7" fillId="3" fontId="1" numFmtId="3" xfId="0" applyAlignment="1" applyBorder="1" applyFont="1" applyNumberFormat="1">
      <alignment shrinkToFit="0" vertical="center" wrapText="0"/>
    </xf>
    <xf borderId="1" fillId="2"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3" xfId="0" applyAlignment="1" applyBorder="1" applyFont="1" applyNumberFormat="1">
      <alignment readingOrder="0" shrinkToFit="0" vertical="center" wrapText="0"/>
    </xf>
    <xf borderId="1" fillId="0" fontId="1" numFmtId="0" xfId="0" applyAlignment="1" applyBorder="1" applyFont="1">
      <alignment readingOrder="0" shrinkToFit="0" vertical="center" wrapText="1"/>
    </xf>
    <xf borderId="0" fillId="0" fontId="5" numFmtId="0" xfId="0" applyAlignment="1" applyFont="1">
      <alignment shrinkToFit="0" vertical="center" wrapText="1"/>
    </xf>
    <xf borderId="4" fillId="3" fontId="1" numFmtId="0" xfId="0" applyAlignment="1" applyBorder="1" applyFont="1">
      <alignment shrinkToFit="0" vertical="center" wrapText="0"/>
    </xf>
    <xf borderId="5" fillId="3" fontId="1" numFmtId="0" xfId="0" applyAlignment="1" applyBorder="1" applyFont="1">
      <alignment shrinkToFit="0" vertical="center" wrapText="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323850</xdr:colOff>
      <xdr:row>14</xdr:row>
      <xdr:rowOff>133350</xdr:rowOff>
    </xdr:from>
    <xdr:ext cx="4191000" cy="7143750"/>
    <xdr:sp>
      <xdr:nvSpPr>
        <xdr:cNvPr id="3" name="Shape 3"/>
        <xdr:cNvSpPr/>
      </xdr:nvSpPr>
      <xdr:spPr>
        <a:xfrm>
          <a:off x="3250500" y="217650"/>
          <a:ext cx="4191000" cy="7124700"/>
        </a:xfrm>
        <a:prstGeom prst="rect">
          <a:avLst/>
        </a:prstGeom>
        <a:solidFill>
          <a:srgbClr val="F1EFFF"/>
        </a:solidFill>
        <a:ln cap="flat" cmpd="sng" w="9525">
          <a:solidFill>
            <a:srgbClr val="80808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Arial"/>
              <a:ea typeface="Arial"/>
              <a:cs typeface="Arial"/>
              <a:sym typeface="Arial"/>
            </a:rPr>
            <a:t>Notes on Preparation</a:t>
          </a:r>
          <a:endParaRPr sz="1400"/>
        </a:p>
        <a:p>
          <a:pPr indent="0" lvl="0" marL="0" rtl="0" algn="l">
            <a:spcBef>
              <a:spcPts val="0"/>
            </a:spcBef>
            <a:spcAft>
              <a:spcPts val="0"/>
            </a:spcAft>
            <a:buNone/>
          </a:pPr>
          <a:r>
            <a:t/>
          </a:r>
          <a:endParaRPr b="1" i="0" sz="1100" u="none" strike="noStrike">
            <a:solidFill>
              <a:srgbClr val="000000"/>
            </a:solidFill>
            <a:latin typeface="Arial"/>
            <a:ea typeface="Arial"/>
            <a:cs typeface="Arial"/>
            <a:sym typeface="Arial"/>
          </a:endParaRPr>
        </a:p>
        <a:p>
          <a:pPr indent="0" lvl="0" marL="0" rtl="0" algn="l">
            <a:spcBef>
              <a:spcPts val="0"/>
            </a:spcBef>
            <a:spcAft>
              <a:spcPts val="0"/>
            </a:spcAft>
            <a:buNone/>
          </a:pPr>
          <a:r>
            <a:rPr b="1" i="1" lang="en-US" sz="900" u="none" strike="noStrike">
              <a:solidFill>
                <a:srgbClr val="000000"/>
              </a:solidFill>
              <a:latin typeface="Arial"/>
              <a:ea typeface="Arial"/>
              <a:cs typeface="Arial"/>
              <a:sym typeface="Arial"/>
            </a:rPr>
            <a:t>You may want to print this information to use as reference later. To delete these instructions, click the border of this text box and then press the DELETE key.</a:t>
          </a:r>
          <a:endParaRPr sz="1400"/>
        </a:p>
        <a:p>
          <a:pPr indent="0" lvl="0" marL="0" rtl="0" algn="l">
            <a:spcBef>
              <a:spcPts val="0"/>
            </a:spcBef>
            <a:spcAft>
              <a:spcPts val="0"/>
            </a:spcAft>
            <a:buNone/>
          </a:pPr>
          <a:r>
            <a:t/>
          </a:r>
          <a:endParaRPr b="1" i="1"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Refer back to your Profit &amp; Loss Projection.  Line-by-line ask yourself when you should expect cash to come and go. You have already done a sales projection, now you must predict when you will actually collect from customers. On the expense side, you have previously projected expenses; now predict when you will actually have to write the check to pay those bills. Most items will be the same as on the Profit &amp; Loss Projection. Rent and utility bills, for instance, are usually paid in the month they are incurred. Other items will differ from the Profit &amp; Loss view.  Insurance and some types of taxes, for example, may actually be payable quarterly or semiannually, even though you recognize them as monthly expenses. Just try to make the Cash Flow as realistic as you can line by line. The payoff for you will be an ability to manage and forecast working capital needs. Change the category labels in the left column as needed to fit your accounting system.</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Note that lines for 'Loan principal payment' through 'Owners' Withdrawal' are for items that always are different on the Cash Flow than on the Profit &amp; Loss.  Loan Principal Payment, Capital Purchases, and Owner's Draw simply do not, by the rules of accounting, show up on the Profit &amp; Loss Projection. They do, however, definitely take cash out of the business, and so need to be included in your Cash plan. On the other hand, you will not find Depreciation on the Cash Flow because you never write a check for Depreciation. Cash from Loans Received and Owners' Injections go in the "Loan/ other cash inj." row. The "Pre-Startup" column is for cash outlays prior to the time covered by the Cash Flow. It is intended primarily for new business startups or major expansion projects where a great deal of cash must go out before operations commence. The bottom section, "ESSENTIAL OPERATING DATA", is not actually part of the Cash model, but it allows you to track items which have a heavy impact on cash. The Cash Flow Projection is the best way to forecast working capital needs. Begin with the amount of Cash on Hand you expect to have. Project all the Receipts and Paid Outs for the year. If CASH POSITION gets dangerously low or negative, you will need to pump in more cash to keep the operation afloat. Many profitable businesses have gone under because they could not pay the bills while waiting for money to flow in. Your creditors do not care about profit; they want to be paid with cash. Cash is the financial lifeblood of your business.</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xdr:txBody>
    </xdr:sp>
    <xdr:clientData fLocksWithSheet="0"/>
  </xdr:oneCellAnchor>
  <xdr:oneCellAnchor>
    <xdr:from>
      <xdr:col>0</xdr:col>
      <xdr:colOff>0</xdr:colOff>
      <xdr:row>0</xdr:row>
      <xdr:rowOff>0</xdr:rowOff>
    </xdr:from>
    <xdr:ext cx="9144000" cy="10287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95250</xdr:rowOff>
    </xdr:from>
    <xdr:ext cx="3590925" cy="6191250"/>
    <xdr:sp>
      <xdr:nvSpPr>
        <xdr:cNvPr id="4" name="Shape 4"/>
        <xdr:cNvSpPr/>
      </xdr:nvSpPr>
      <xdr:spPr>
        <a:xfrm>
          <a:off x="3555300" y="689138"/>
          <a:ext cx="3581400" cy="6181725"/>
        </a:xfrm>
        <a:prstGeom prst="rect">
          <a:avLst/>
        </a:prstGeom>
        <a:gradFill>
          <a:gsLst>
            <a:gs pos="0">
              <a:srgbClr val="FDFDFB"/>
            </a:gs>
            <a:gs pos="100000">
              <a:srgbClr val="CCFFFF"/>
            </a:gs>
          </a:gsLst>
          <a:lin ang="0" scaled="0"/>
        </a:gradFill>
        <a:ln cap="flat" cmpd="sng" w="9525">
          <a:solidFill>
            <a:srgbClr val="80808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Arial"/>
              <a:ea typeface="Arial"/>
              <a:cs typeface="Arial"/>
              <a:sym typeface="Arial"/>
            </a:rPr>
            <a:t>Notes on Preparation</a:t>
          </a:r>
          <a:endParaRPr sz="1400"/>
        </a:p>
        <a:p>
          <a:pPr indent="0" lvl="0" marL="0" rtl="0" algn="l">
            <a:spcBef>
              <a:spcPts val="0"/>
            </a:spcBef>
            <a:spcAft>
              <a:spcPts val="0"/>
            </a:spcAft>
            <a:buNone/>
          </a:pPr>
          <a:r>
            <a:t/>
          </a:r>
          <a:endParaRPr b="1" i="0" sz="1100" u="none" strike="noStrike">
            <a:solidFill>
              <a:srgbClr val="000000"/>
            </a:solidFill>
            <a:latin typeface="Arial"/>
            <a:ea typeface="Arial"/>
            <a:cs typeface="Arial"/>
            <a:sym typeface="Arial"/>
          </a:endParaRPr>
        </a:p>
        <a:p>
          <a:pPr indent="0" lvl="0" marL="0" rtl="0" algn="l">
            <a:spcBef>
              <a:spcPts val="0"/>
            </a:spcBef>
            <a:spcAft>
              <a:spcPts val="0"/>
            </a:spcAft>
            <a:buNone/>
          </a:pPr>
          <a:r>
            <a:rPr b="1" i="0" lang="en-US" sz="800" u="none" strike="noStrike">
              <a:solidFill>
                <a:srgbClr val="000000"/>
              </a:solidFill>
              <a:latin typeface="Arial"/>
              <a:ea typeface="Arial"/>
              <a:cs typeface="Arial"/>
              <a:sym typeface="Arial"/>
            </a:rPr>
            <a:t>Note:</a:t>
          </a:r>
          <a:r>
            <a:rPr i="0" lang="en-US" sz="900" u="none" strike="noStrike">
              <a:solidFill>
                <a:srgbClr val="000000"/>
              </a:solidFill>
              <a:latin typeface="Arial"/>
              <a:ea typeface="Arial"/>
              <a:cs typeface="Arial"/>
              <a:sym typeface="Arial"/>
            </a:rPr>
            <a:t> You may want to print this information to use as reference later. To delete these instructions, click the border of this text box and then press the DELETE key.</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Refer back to your Profit &amp; Loss Projection.  Line-by-line ask yourself when you should expect cash to come and go. You have already done a sales projection, now you must predict when you will actually collect from customers. On the expense side, you have previously projected expenses; now predict when you will actually have to write the check to pay those bills. Most items will be the same as on the Profit &amp; Loss Projection. Rent and utility bills, for instance, are usually paid in the month they are incurred. Other items will differ from the Profit &amp; Loss view.  Insurance and some types of taxes, for example, may actually be payable quarterly or semiannually, even though you recognize them as monthly expenses. Just try to make the Cash Flow as realistic as you can line by line. The payoff for you will be an ability to manage and forecast working capital needs. Change the category labels in the left column as needed to fit your accounting system.</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Note that lines for 'Loan principal payment' through 'Owners' Withdrawal' are for items that always are different on the Cash Flow than on the Profit &amp; Loss.  Loan Principal Payment, Capital Purchases, and Owner's Draw simply do not, by the rules of accounting, show up on the Profit &amp; Loss Projection. They do, however, definitely take cash out of the business, and so need to be included in your Cash plan. On the other hand, you will not find Depreciation on the Cash Flow because you never write a check for Depreciation. Cash from Loans Received and Owners' Injections go in the "Loan/ other cash inj." row. The "Pre-Startup" column is for cash outlays prior to the time covered by the Cash Flow. It is intended primarily for new business startups or major expansion projects where a great deal of cash must go out before operations commence. The bottom section, "ESSENTIAL OPERATING DATA", is not actually part of the Cash model, but it allows you to track items which have a heavy impact on cash. The Cash Flow Projection is the best way to forecast working capital needs. Begin with the amount of Cash on Hand you expect to have. Project all the Receipts and Paid Outs for the year. If CASH POSITION gets dangerously low or negative, you will need to pump in more cash to keep the operation afloat. Many profitable businesses have gone under because they could not pay the bills while waiting for money to flow in. Your creditors do not care about profit; they want to be paid with cash. Cash is the financial lifeblood of your business.</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xdr:txBody>
    </xdr:sp>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CCE4"/>
    <outlinePr summaryBelow="0" summaryRight="0"/>
  </sheetPr>
  <sheetViews>
    <sheetView showGridLines="0" workbookViewId="0">
      <pane ySplit="3.0" topLeftCell="A4" activePane="bottomLeft" state="frozen"/>
      <selection activeCell="B5" sqref="B5" pane="bottomLeft"/>
    </sheetView>
  </sheetViews>
  <sheetFormatPr customHeight="1" defaultColWidth="16.83" defaultRowHeight="15.0"/>
  <cols>
    <col customWidth="1" min="1" max="1" width="28.17"/>
    <col customWidth="1" min="2" max="2" width="11.67"/>
    <col customWidth="1" min="3" max="3" width="8.67"/>
    <col customWidth="1" min="4" max="14" width="9.17"/>
    <col customWidth="1" min="15" max="15" width="10.0"/>
    <col customWidth="1" min="16" max="26" width="9.33"/>
  </cols>
  <sheetData>
    <row r="1" ht="77.25" customHeight="1">
      <c r="A1" s="1"/>
      <c r="B1" s="2"/>
      <c r="C1" s="2"/>
      <c r="D1" s="2"/>
      <c r="E1" s="2"/>
      <c r="F1" s="2"/>
      <c r="G1" s="2"/>
      <c r="H1" s="2"/>
      <c r="I1" s="2"/>
      <c r="J1" s="2"/>
      <c r="K1" s="2"/>
      <c r="L1" s="2"/>
      <c r="M1" s="2"/>
      <c r="N1" s="2"/>
      <c r="O1" s="2"/>
      <c r="P1" s="2"/>
      <c r="Q1" s="2"/>
      <c r="R1" s="2"/>
      <c r="S1" s="2"/>
      <c r="T1" s="2"/>
      <c r="U1" s="2"/>
      <c r="V1" s="2"/>
      <c r="W1" s="2"/>
      <c r="X1" s="2"/>
      <c r="Y1" s="2"/>
      <c r="Z1" s="2"/>
    </row>
    <row r="2" ht="27.75" customHeight="1">
      <c r="A2" s="3" t="s">
        <v>0</v>
      </c>
      <c r="B2" s="4"/>
      <c r="C2" s="4"/>
      <c r="D2" s="4"/>
      <c r="E2" s="4"/>
      <c r="F2" s="4"/>
      <c r="G2" s="5" t="s">
        <v>1</v>
      </c>
      <c r="H2" s="6"/>
      <c r="I2" s="6"/>
      <c r="J2" s="7"/>
      <c r="K2" s="7"/>
      <c r="L2" s="7"/>
      <c r="M2" s="6"/>
      <c r="N2" s="8" t="s">
        <v>2</v>
      </c>
      <c r="O2" s="9" t="s">
        <v>3</v>
      </c>
      <c r="P2" s="4"/>
      <c r="Q2" s="4"/>
      <c r="R2" s="4"/>
      <c r="S2" s="4"/>
      <c r="T2" s="4"/>
      <c r="U2" s="4"/>
      <c r="V2" s="4"/>
      <c r="W2" s="4"/>
      <c r="X2" s="4"/>
      <c r="Y2" s="4"/>
      <c r="Z2" s="4"/>
    </row>
    <row r="3" ht="24.75" customHeight="1">
      <c r="A3" s="10"/>
      <c r="B3" s="11" t="s">
        <v>4</v>
      </c>
      <c r="C3" s="12">
        <v>43283.0</v>
      </c>
      <c r="D3" s="13">
        <f t="shared" ref="D3:N3" si="1">DATE(YEAR(C3),MONTH(C3)+1,1)</f>
        <v>43313</v>
      </c>
      <c r="E3" s="13">
        <f t="shared" si="1"/>
        <v>43344</v>
      </c>
      <c r="F3" s="13">
        <f t="shared" si="1"/>
        <v>43374</v>
      </c>
      <c r="G3" s="13">
        <f t="shared" si="1"/>
        <v>43405</v>
      </c>
      <c r="H3" s="13">
        <f t="shared" si="1"/>
        <v>43435</v>
      </c>
      <c r="I3" s="13">
        <f t="shared" si="1"/>
        <v>43466</v>
      </c>
      <c r="J3" s="13">
        <f t="shared" si="1"/>
        <v>43497</v>
      </c>
      <c r="K3" s="13">
        <f t="shared" si="1"/>
        <v>43525</v>
      </c>
      <c r="L3" s="13">
        <f t="shared" si="1"/>
        <v>43556</v>
      </c>
      <c r="M3" s="13">
        <f t="shared" si="1"/>
        <v>43586</v>
      </c>
      <c r="N3" s="13">
        <f t="shared" si="1"/>
        <v>43617</v>
      </c>
      <c r="O3" s="14" t="s">
        <v>5</v>
      </c>
      <c r="P3" s="2"/>
      <c r="Q3" s="2"/>
      <c r="R3" s="2"/>
      <c r="S3" s="2"/>
      <c r="T3" s="2"/>
      <c r="U3" s="2"/>
      <c r="V3" s="2"/>
      <c r="W3" s="2"/>
      <c r="X3" s="2"/>
      <c r="Y3" s="2"/>
      <c r="Z3" s="2"/>
    </row>
    <row r="4" ht="24.0" customHeight="1">
      <c r="A4" s="15" t="s">
        <v>6</v>
      </c>
      <c r="B4" s="16"/>
      <c r="C4" s="16">
        <f t="shared" ref="C4:N4" si="2">B42</f>
        <v>0</v>
      </c>
      <c r="D4" s="16">
        <f t="shared" si="2"/>
        <v>5940</v>
      </c>
      <c r="E4" s="16">
        <f t="shared" si="2"/>
        <v>12605</v>
      </c>
      <c r="F4" s="16">
        <f t="shared" si="2"/>
        <v>19995</v>
      </c>
      <c r="G4" s="16">
        <f t="shared" si="2"/>
        <v>28110</v>
      </c>
      <c r="H4" s="16">
        <f t="shared" si="2"/>
        <v>36950</v>
      </c>
      <c r="I4" s="16">
        <f t="shared" si="2"/>
        <v>46515</v>
      </c>
      <c r="J4" s="16">
        <f t="shared" si="2"/>
        <v>56305</v>
      </c>
      <c r="K4" s="16">
        <f t="shared" si="2"/>
        <v>66820</v>
      </c>
      <c r="L4" s="16">
        <f t="shared" si="2"/>
        <v>78060</v>
      </c>
      <c r="M4" s="16">
        <f t="shared" si="2"/>
        <v>89925</v>
      </c>
      <c r="N4" s="16">
        <f t="shared" si="2"/>
        <v>102615</v>
      </c>
      <c r="O4" s="16">
        <f>C4</f>
        <v>0</v>
      </c>
      <c r="P4" s="2"/>
      <c r="Q4" s="2"/>
      <c r="R4" s="2"/>
      <c r="S4" s="2"/>
      <c r="T4" s="2"/>
      <c r="U4" s="2"/>
      <c r="V4" s="2"/>
      <c r="W4" s="2"/>
      <c r="X4" s="2"/>
      <c r="Y4" s="2"/>
      <c r="Z4" s="2"/>
    </row>
    <row r="5" ht="7.5" customHeight="1">
      <c r="A5" s="17"/>
      <c r="B5" s="18"/>
      <c r="C5" s="18"/>
      <c r="D5" s="18"/>
      <c r="E5" s="18"/>
      <c r="F5" s="18"/>
      <c r="G5" s="18"/>
      <c r="H5" s="18"/>
      <c r="I5" s="18"/>
      <c r="J5" s="18"/>
      <c r="K5" s="18"/>
      <c r="L5" s="18"/>
      <c r="M5" s="18"/>
      <c r="N5" s="18"/>
      <c r="O5" s="18"/>
      <c r="P5" s="2"/>
      <c r="Q5" s="2"/>
      <c r="R5" s="2"/>
      <c r="S5" s="2"/>
      <c r="T5" s="2"/>
      <c r="U5" s="2"/>
      <c r="V5" s="2"/>
      <c r="W5" s="2"/>
      <c r="X5" s="2"/>
      <c r="Y5" s="2"/>
      <c r="Z5" s="2"/>
    </row>
    <row r="6" ht="18.0" customHeight="1">
      <c r="A6" s="19" t="s">
        <v>7</v>
      </c>
      <c r="B6" s="20"/>
      <c r="C6" s="20"/>
      <c r="D6" s="20"/>
      <c r="E6" s="20"/>
      <c r="F6" s="20"/>
      <c r="G6" s="20"/>
      <c r="H6" s="20"/>
      <c r="I6" s="20"/>
      <c r="J6" s="20"/>
      <c r="K6" s="20"/>
      <c r="L6" s="20"/>
      <c r="M6" s="20"/>
      <c r="N6" s="20"/>
      <c r="O6" s="21"/>
      <c r="P6" s="2"/>
      <c r="Q6" s="2"/>
      <c r="R6" s="2"/>
      <c r="S6" s="2"/>
      <c r="T6" s="2"/>
      <c r="U6" s="2"/>
      <c r="V6" s="2"/>
      <c r="W6" s="2"/>
      <c r="X6" s="2"/>
      <c r="Y6" s="2"/>
      <c r="Z6" s="2"/>
    </row>
    <row r="7" ht="18.0" customHeight="1">
      <c r="A7" s="22" t="s">
        <v>8</v>
      </c>
      <c r="B7" s="16"/>
      <c r="C7" s="23">
        <v>15925.0</v>
      </c>
      <c r="D7" s="23">
        <v>17150.0</v>
      </c>
      <c r="E7" s="23">
        <v>18375.0</v>
      </c>
      <c r="F7" s="23">
        <v>19600.0</v>
      </c>
      <c r="G7" s="24">
        <v>20825.0</v>
      </c>
      <c r="H7" s="23">
        <v>22050.0</v>
      </c>
      <c r="I7" s="23">
        <v>23275.0</v>
      </c>
      <c r="J7" s="23">
        <v>24500.0</v>
      </c>
      <c r="K7" s="23">
        <v>25725.0</v>
      </c>
      <c r="L7" s="23">
        <v>26950.0</v>
      </c>
      <c r="M7" s="23">
        <v>26175.0</v>
      </c>
      <c r="N7" s="23">
        <v>29400.0</v>
      </c>
      <c r="O7" s="16"/>
      <c r="P7" s="2"/>
      <c r="Q7" s="2"/>
      <c r="R7" s="2"/>
      <c r="S7" s="2"/>
      <c r="T7" s="2"/>
      <c r="U7" s="2"/>
      <c r="V7" s="2"/>
      <c r="W7" s="2"/>
      <c r="X7" s="2"/>
      <c r="Y7" s="2"/>
      <c r="Z7" s="2"/>
    </row>
    <row r="8" ht="18.0" customHeight="1">
      <c r="A8" s="25" t="s">
        <v>9</v>
      </c>
      <c r="B8" s="26"/>
      <c r="C8" s="26"/>
      <c r="D8" s="26"/>
      <c r="E8" s="26"/>
      <c r="F8" s="26"/>
      <c r="G8" s="26"/>
      <c r="H8" s="26"/>
      <c r="I8" s="26"/>
      <c r="J8" s="26"/>
      <c r="K8" s="26"/>
      <c r="L8" s="26"/>
      <c r="M8" s="26"/>
      <c r="N8" s="26"/>
      <c r="O8" s="26"/>
      <c r="P8" s="2"/>
      <c r="Q8" s="2"/>
      <c r="R8" s="2"/>
      <c r="S8" s="2"/>
      <c r="T8" s="2"/>
      <c r="U8" s="2"/>
      <c r="V8" s="2"/>
      <c r="W8" s="2"/>
      <c r="X8" s="2"/>
      <c r="Y8" s="2"/>
      <c r="Z8" s="2"/>
    </row>
    <row r="9" ht="18.0" customHeight="1">
      <c r="A9" s="22" t="s">
        <v>10</v>
      </c>
      <c r="B9" s="16"/>
      <c r="C9" s="16"/>
      <c r="D9" s="16"/>
      <c r="E9" s="16"/>
      <c r="F9" s="16"/>
      <c r="G9" s="16"/>
      <c r="H9" s="16"/>
      <c r="I9" s="16"/>
      <c r="J9" s="16"/>
      <c r="K9" s="16"/>
      <c r="L9" s="16"/>
      <c r="M9" s="16"/>
      <c r="N9" s="16"/>
      <c r="O9" s="16"/>
      <c r="P9" s="2"/>
      <c r="Q9" s="2"/>
      <c r="R9" s="2"/>
      <c r="S9" s="2"/>
      <c r="T9" s="2"/>
      <c r="U9" s="2"/>
      <c r="V9" s="2"/>
      <c r="W9" s="2"/>
      <c r="X9" s="2"/>
      <c r="Y9" s="2"/>
      <c r="Z9" s="2"/>
    </row>
    <row r="10" ht="18.0" customHeight="1">
      <c r="A10" s="27" t="s">
        <v>11</v>
      </c>
      <c r="B10" s="28">
        <f t="shared" ref="B10:H10" si="3">SUM(B7:B9)</f>
        <v>0</v>
      </c>
      <c r="C10" s="28">
        <f t="shared" si="3"/>
        <v>15925</v>
      </c>
      <c r="D10" s="28">
        <f t="shared" si="3"/>
        <v>17150</v>
      </c>
      <c r="E10" s="28">
        <f t="shared" si="3"/>
        <v>18375</v>
      </c>
      <c r="F10" s="28">
        <f t="shared" si="3"/>
        <v>19600</v>
      </c>
      <c r="G10" s="28">
        <f t="shared" si="3"/>
        <v>20825</v>
      </c>
      <c r="H10" s="28">
        <f t="shared" si="3"/>
        <v>22050</v>
      </c>
      <c r="I10" s="24">
        <v>23275.0</v>
      </c>
      <c r="J10" s="24">
        <v>24500.0</v>
      </c>
      <c r="K10" s="24">
        <v>25725.0</v>
      </c>
      <c r="L10" s="24">
        <v>26850.0</v>
      </c>
      <c r="M10" s="24">
        <v>28175.0</v>
      </c>
      <c r="N10" s="24">
        <v>29400.0</v>
      </c>
      <c r="O10" s="28">
        <f>SUM(O7:O9)</f>
        <v>0</v>
      </c>
      <c r="P10" s="2"/>
      <c r="Q10" s="2"/>
      <c r="R10" s="2"/>
      <c r="S10" s="2"/>
      <c r="T10" s="2"/>
      <c r="U10" s="2"/>
      <c r="V10" s="2"/>
      <c r="W10" s="2"/>
      <c r="X10" s="2"/>
      <c r="Y10" s="2"/>
      <c r="Z10" s="2"/>
    </row>
    <row r="11" ht="24.0" customHeight="1">
      <c r="A11" s="15" t="s">
        <v>12</v>
      </c>
      <c r="B11" s="28">
        <f t="shared" ref="B11:O11" si="4">(B4+B10)</f>
        <v>0</v>
      </c>
      <c r="C11" s="28">
        <f t="shared" si="4"/>
        <v>15925</v>
      </c>
      <c r="D11" s="28">
        <f t="shared" si="4"/>
        <v>23090</v>
      </c>
      <c r="E11" s="28">
        <f t="shared" si="4"/>
        <v>30980</v>
      </c>
      <c r="F11" s="28">
        <f t="shared" si="4"/>
        <v>39595</v>
      </c>
      <c r="G11" s="28">
        <f t="shared" si="4"/>
        <v>48935</v>
      </c>
      <c r="H11" s="28">
        <f t="shared" si="4"/>
        <v>59000</v>
      </c>
      <c r="I11" s="28">
        <f t="shared" si="4"/>
        <v>69790</v>
      </c>
      <c r="J11" s="28">
        <f t="shared" si="4"/>
        <v>80805</v>
      </c>
      <c r="K11" s="28">
        <f t="shared" si="4"/>
        <v>92545</v>
      </c>
      <c r="L11" s="28">
        <f t="shared" si="4"/>
        <v>104910</v>
      </c>
      <c r="M11" s="28">
        <f t="shared" si="4"/>
        <v>118100</v>
      </c>
      <c r="N11" s="28">
        <f t="shared" si="4"/>
        <v>132015</v>
      </c>
      <c r="O11" s="28">
        <f t="shared" si="4"/>
        <v>0</v>
      </c>
      <c r="P11" s="2"/>
      <c r="Q11" s="2"/>
      <c r="R11" s="2"/>
      <c r="S11" s="2"/>
      <c r="T11" s="2"/>
      <c r="U11" s="2"/>
      <c r="V11" s="2"/>
      <c r="W11" s="2"/>
      <c r="X11" s="2"/>
      <c r="Y11" s="2"/>
      <c r="Z11" s="2"/>
    </row>
    <row r="12" ht="7.5" customHeight="1">
      <c r="A12" s="29"/>
      <c r="B12" s="30"/>
      <c r="C12" s="30"/>
      <c r="D12" s="30"/>
      <c r="E12" s="30"/>
      <c r="F12" s="30"/>
      <c r="G12" s="30"/>
      <c r="H12" s="30"/>
      <c r="I12" s="30"/>
      <c r="J12" s="30"/>
      <c r="K12" s="30"/>
      <c r="L12" s="30"/>
      <c r="M12" s="30"/>
      <c r="N12" s="30"/>
      <c r="O12" s="30"/>
      <c r="P12" s="2"/>
      <c r="Q12" s="2"/>
      <c r="R12" s="2"/>
      <c r="S12" s="2"/>
      <c r="T12" s="2"/>
      <c r="U12" s="2"/>
      <c r="V12" s="2"/>
      <c r="W12" s="2"/>
      <c r="X12" s="2"/>
      <c r="Y12" s="2"/>
      <c r="Z12" s="2"/>
    </row>
    <row r="13" ht="18.0" customHeight="1">
      <c r="A13" s="19" t="s">
        <v>13</v>
      </c>
      <c r="B13" s="31"/>
      <c r="C13" s="31"/>
      <c r="D13" s="31"/>
      <c r="E13" s="31"/>
      <c r="F13" s="31"/>
      <c r="G13" s="31"/>
      <c r="H13" s="31"/>
      <c r="I13" s="31"/>
      <c r="J13" s="31"/>
      <c r="K13" s="31"/>
      <c r="L13" s="31"/>
      <c r="M13" s="31"/>
      <c r="N13" s="31"/>
      <c r="O13" s="21"/>
      <c r="P13" s="2"/>
      <c r="Q13" s="2"/>
      <c r="R13" s="2"/>
      <c r="S13" s="2"/>
      <c r="T13" s="2"/>
      <c r="U13" s="2"/>
      <c r="V13" s="2"/>
      <c r="W13" s="2"/>
      <c r="X13" s="2"/>
      <c r="Y13" s="2"/>
      <c r="Z13" s="2"/>
    </row>
    <row r="14" ht="18.0" customHeight="1">
      <c r="A14" s="32" t="s">
        <v>14</v>
      </c>
      <c r="B14" s="16"/>
      <c r="C14" s="23">
        <v>6000.0</v>
      </c>
      <c r="D14" s="23">
        <v>6500.0</v>
      </c>
      <c r="E14" s="23">
        <v>7000.0</v>
      </c>
      <c r="F14" s="23">
        <v>7500.0</v>
      </c>
      <c r="G14" s="23">
        <v>8000.0</v>
      </c>
      <c r="H14" s="23">
        <v>8500.0</v>
      </c>
      <c r="I14" s="23">
        <v>9500.0</v>
      </c>
      <c r="J14" s="23">
        <v>10000.0</v>
      </c>
      <c r="K14" s="23">
        <v>10500.0</v>
      </c>
      <c r="L14" s="23">
        <v>11000.0</v>
      </c>
      <c r="M14" s="23">
        <v>11500.0</v>
      </c>
      <c r="N14" s="23">
        <v>12000.0</v>
      </c>
      <c r="O14" s="16"/>
      <c r="P14" s="2"/>
      <c r="Q14" s="2"/>
      <c r="R14" s="2"/>
      <c r="S14" s="2"/>
      <c r="T14" s="2"/>
      <c r="U14" s="2"/>
      <c r="V14" s="2"/>
      <c r="W14" s="2"/>
      <c r="X14" s="2"/>
      <c r="Y14" s="2"/>
      <c r="Z14" s="2"/>
    </row>
    <row r="15" ht="18.0" customHeight="1">
      <c r="A15" s="33" t="s">
        <v>15</v>
      </c>
      <c r="B15" s="26"/>
      <c r="C15" s="26"/>
      <c r="D15" s="26"/>
      <c r="E15" s="26"/>
      <c r="F15" s="26"/>
      <c r="G15" s="26"/>
      <c r="H15" s="26"/>
      <c r="I15" s="26"/>
      <c r="J15" s="26"/>
      <c r="K15" s="26"/>
      <c r="L15" s="26"/>
      <c r="M15" s="26"/>
      <c r="N15" s="26"/>
      <c r="O15" s="26"/>
      <c r="P15" s="2"/>
      <c r="Q15" s="2"/>
      <c r="R15" s="2"/>
      <c r="S15" s="2"/>
      <c r="T15" s="2"/>
      <c r="U15" s="2"/>
      <c r="V15" s="2"/>
      <c r="W15" s="2"/>
      <c r="X15" s="2"/>
      <c r="Y15" s="2"/>
      <c r="Z15" s="2"/>
    </row>
    <row r="16" ht="18.0" customHeight="1">
      <c r="A16" s="22" t="s">
        <v>15</v>
      </c>
      <c r="B16" s="16"/>
      <c r="C16" s="16"/>
      <c r="D16" s="16"/>
      <c r="E16" s="16"/>
      <c r="F16" s="16"/>
      <c r="G16" s="16"/>
      <c r="H16" s="16"/>
      <c r="I16" s="16"/>
      <c r="J16" s="16"/>
      <c r="K16" s="16"/>
      <c r="L16" s="16"/>
      <c r="M16" s="16"/>
      <c r="N16" s="16"/>
      <c r="O16" s="16"/>
      <c r="P16" s="2"/>
      <c r="Q16" s="2"/>
      <c r="R16" s="2"/>
      <c r="S16" s="2"/>
      <c r="T16" s="2"/>
      <c r="U16" s="2"/>
      <c r="V16" s="2"/>
      <c r="W16" s="2"/>
      <c r="X16" s="2"/>
      <c r="Y16" s="2"/>
      <c r="Z16" s="2"/>
    </row>
    <row r="17" ht="18.0" customHeight="1">
      <c r="A17" s="33" t="s">
        <v>16</v>
      </c>
      <c r="B17" s="26"/>
      <c r="C17" s="34">
        <v>2500.0</v>
      </c>
      <c r="D17" s="34">
        <v>2500.0</v>
      </c>
      <c r="E17" s="34">
        <v>2500.0</v>
      </c>
      <c r="F17" s="34">
        <v>2500.0</v>
      </c>
      <c r="G17" s="34">
        <v>2500.0</v>
      </c>
      <c r="H17" s="34">
        <v>2500.0</v>
      </c>
      <c r="I17" s="34">
        <v>2500.0</v>
      </c>
      <c r="J17" s="34">
        <v>2500.0</v>
      </c>
      <c r="K17" s="34">
        <v>2500.0</v>
      </c>
      <c r="L17" s="34">
        <v>2500.0</v>
      </c>
      <c r="M17" s="34">
        <v>2500.0</v>
      </c>
      <c r="N17" s="34">
        <v>2500.0</v>
      </c>
      <c r="O17" s="26"/>
      <c r="P17" s="2"/>
      <c r="Q17" s="2"/>
      <c r="R17" s="2"/>
      <c r="S17" s="2"/>
      <c r="T17" s="2"/>
      <c r="U17" s="2"/>
      <c r="V17" s="2"/>
      <c r="W17" s="2"/>
      <c r="X17" s="2"/>
      <c r="Y17" s="2"/>
      <c r="Z17" s="2"/>
    </row>
    <row r="18" ht="18.0" customHeight="1">
      <c r="A18" s="22" t="s">
        <v>17</v>
      </c>
      <c r="B18" s="16"/>
      <c r="C18" s="16"/>
      <c r="D18" s="16"/>
      <c r="E18" s="16"/>
      <c r="F18" s="16"/>
      <c r="G18" s="16"/>
      <c r="H18" s="16"/>
      <c r="I18" s="16"/>
      <c r="J18" s="16"/>
      <c r="K18" s="16"/>
      <c r="L18" s="16"/>
      <c r="M18" s="16"/>
      <c r="N18" s="16"/>
      <c r="O18" s="16"/>
      <c r="P18" s="2"/>
      <c r="Q18" s="2"/>
      <c r="R18" s="2"/>
      <c r="S18" s="2"/>
      <c r="T18" s="2"/>
      <c r="U18" s="2"/>
      <c r="V18" s="2"/>
      <c r="W18" s="2"/>
      <c r="X18" s="2"/>
      <c r="Y18" s="2"/>
      <c r="Z18" s="2"/>
    </row>
    <row r="19" ht="18.0" customHeight="1">
      <c r="A19" s="33" t="s">
        <v>18</v>
      </c>
      <c r="B19" s="26"/>
      <c r="C19" s="26"/>
      <c r="D19" s="26"/>
      <c r="E19" s="26"/>
      <c r="F19" s="26"/>
      <c r="G19" s="26"/>
      <c r="H19" s="26"/>
      <c r="I19" s="26"/>
      <c r="J19" s="26"/>
      <c r="K19" s="26"/>
      <c r="L19" s="26"/>
      <c r="M19" s="26"/>
      <c r="N19" s="26"/>
      <c r="O19" s="26"/>
      <c r="P19" s="2"/>
      <c r="Q19" s="2"/>
      <c r="R19" s="2"/>
      <c r="S19" s="2"/>
      <c r="T19" s="2"/>
      <c r="U19" s="2"/>
      <c r="V19" s="2"/>
      <c r="W19" s="2"/>
      <c r="X19" s="2"/>
      <c r="Y19" s="2"/>
      <c r="Z19" s="2"/>
    </row>
    <row r="20" ht="18.0" customHeight="1">
      <c r="A20" s="22" t="s">
        <v>19</v>
      </c>
      <c r="B20" s="16"/>
      <c r="C20" s="16"/>
      <c r="D20" s="16"/>
      <c r="E20" s="16"/>
      <c r="F20" s="16"/>
      <c r="G20" s="16"/>
      <c r="H20" s="16"/>
      <c r="I20" s="16"/>
      <c r="J20" s="16"/>
      <c r="K20" s="16"/>
      <c r="L20" s="16"/>
      <c r="M20" s="16"/>
      <c r="N20" s="16"/>
      <c r="O20" s="16"/>
      <c r="P20" s="2"/>
      <c r="Q20" s="2"/>
      <c r="R20" s="2"/>
      <c r="S20" s="2"/>
      <c r="T20" s="2"/>
      <c r="U20" s="2"/>
      <c r="V20" s="2"/>
      <c r="W20" s="2"/>
      <c r="X20" s="2"/>
      <c r="Y20" s="2"/>
      <c r="Z20" s="2"/>
    </row>
    <row r="21" ht="18.0" customHeight="1">
      <c r="A21" s="33" t="s">
        <v>20</v>
      </c>
      <c r="B21" s="26"/>
      <c r="C21" s="26"/>
      <c r="D21" s="26"/>
      <c r="E21" s="26"/>
      <c r="F21" s="26"/>
      <c r="G21" s="26"/>
      <c r="H21" s="26"/>
      <c r="I21" s="26"/>
      <c r="J21" s="26"/>
      <c r="K21" s="26"/>
      <c r="L21" s="26"/>
      <c r="M21" s="26"/>
      <c r="N21" s="26"/>
      <c r="O21" s="26"/>
      <c r="P21" s="2"/>
      <c r="Q21" s="2"/>
      <c r="R21" s="2"/>
      <c r="S21" s="2"/>
      <c r="T21" s="2"/>
      <c r="U21" s="2"/>
      <c r="V21" s="2"/>
      <c r="W21" s="2"/>
      <c r="X21" s="2"/>
      <c r="Y21" s="2"/>
      <c r="Z21" s="2"/>
    </row>
    <row r="22" ht="18.0" customHeight="1">
      <c r="A22" s="22" t="s">
        <v>21</v>
      </c>
      <c r="B22" s="16"/>
      <c r="C22" s="23"/>
      <c r="D22" s="23"/>
      <c r="E22" s="23"/>
      <c r="F22" s="23"/>
      <c r="G22" s="23"/>
      <c r="H22" s="23"/>
      <c r="I22" s="23"/>
      <c r="J22" s="23"/>
      <c r="K22" s="23"/>
      <c r="L22" s="23"/>
      <c r="M22" s="23"/>
      <c r="N22" s="23"/>
      <c r="O22" s="16"/>
      <c r="P22" s="2"/>
      <c r="Q22" s="2"/>
      <c r="R22" s="2"/>
      <c r="S22" s="2"/>
      <c r="T22" s="2"/>
      <c r="U22" s="2"/>
      <c r="V22" s="2"/>
      <c r="W22" s="2"/>
      <c r="X22" s="2"/>
      <c r="Y22" s="2"/>
      <c r="Z22" s="2"/>
    </row>
    <row r="23" ht="18.0" customHeight="1">
      <c r="A23" s="33" t="s">
        <v>22</v>
      </c>
      <c r="B23" s="26"/>
      <c r="C23" s="26"/>
      <c r="D23" s="26"/>
      <c r="E23" s="26"/>
      <c r="F23" s="26"/>
      <c r="G23" s="26"/>
      <c r="H23" s="26"/>
      <c r="I23" s="26"/>
      <c r="J23" s="26"/>
      <c r="K23" s="26"/>
      <c r="L23" s="26"/>
      <c r="M23" s="26"/>
      <c r="N23" s="26"/>
      <c r="O23" s="26"/>
      <c r="P23" s="2"/>
      <c r="Q23" s="2"/>
      <c r="R23" s="2"/>
      <c r="S23" s="2"/>
      <c r="T23" s="2"/>
      <c r="U23" s="2"/>
      <c r="V23" s="2"/>
      <c r="W23" s="2"/>
      <c r="X23" s="2"/>
      <c r="Y23" s="2"/>
      <c r="Z23" s="2"/>
    </row>
    <row r="24" ht="18.0" customHeight="1">
      <c r="A24" s="22" t="s">
        <v>23</v>
      </c>
      <c r="B24" s="16"/>
      <c r="C24" s="23">
        <v>150.0</v>
      </c>
      <c r="D24" s="23">
        <v>150.0</v>
      </c>
      <c r="E24" s="23">
        <v>150.0</v>
      </c>
      <c r="F24" s="23">
        <v>150.0</v>
      </c>
      <c r="G24" s="23">
        <v>150.0</v>
      </c>
      <c r="H24" s="23">
        <v>150.0</v>
      </c>
      <c r="I24" s="23">
        <v>150.0</v>
      </c>
      <c r="J24" s="23">
        <v>150.0</v>
      </c>
      <c r="K24" s="23">
        <v>150.0</v>
      </c>
      <c r="L24" s="23">
        <v>150.0</v>
      </c>
      <c r="M24" s="23">
        <v>150.0</v>
      </c>
      <c r="N24" s="23">
        <v>150.0</v>
      </c>
      <c r="O24" s="16"/>
      <c r="P24" s="2"/>
      <c r="Q24" s="2"/>
      <c r="R24" s="2"/>
      <c r="S24" s="2"/>
      <c r="T24" s="2"/>
      <c r="U24" s="2"/>
      <c r="V24" s="2"/>
      <c r="W24" s="2"/>
      <c r="X24" s="2"/>
      <c r="Y24" s="2"/>
      <c r="Z24" s="2"/>
    </row>
    <row r="25" ht="18.0" customHeight="1">
      <c r="A25" s="33" t="s">
        <v>24</v>
      </c>
      <c r="B25" s="26"/>
      <c r="C25" s="34">
        <v>550.0</v>
      </c>
      <c r="D25" s="34">
        <v>550.0</v>
      </c>
      <c r="E25" s="34">
        <v>550.0</v>
      </c>
      <c r="F25" s="34">
        <v>550.0</v>
      </c>
      <c r="G25" s="34">
        <v>550.0</v>
      </c>
      <c r="H25" s="34">
        <v>550.0</v>
      </c>
      <c r="I25" s="34">
        <v>550.0</v>
      </c>
      <c r="J25" s="34">
        <v>550.0</v>
      </c>
      <c r="K25" s="34">
        <v>550.0</v>
      </c>
      <c r="L25" s="34">
        <v>550.0</v>
      </c>
      <c r="M25" s="34">
        <v>550.0</v>
      </c>
      <c r="N25" s="34">
        <v>550.0</v>
      </c>
      <c r="O25" s="26"/>
      <c r="P25" s="2"/>
      <c r="Q25" s="2"/>
      <c r="R25" s="2"/>
      <c r="S25" s="2"/>
      <c r="T25" s="2"/>
      <c r="U25" s="2"/>
      <c r="V25" s="2"/>
      <c r="W25" s="2"/>
      <c r="X25" s="2"/>
      <c r="Y25" s="2"/>
      <c r="Z25" s="2"/>
    </row>
    <row r="26" ht="18.0" customHeight="1">
      <c r="A26" s="22" t="s">
        <v>25</v>
      </c>
      <c r="B26" s="16"/>
      <c r="C26" s="23">
        <v>300.0</v>
      </c>
      <c r="D26" s="23">
        <v>300.0</v>
      </c>
      <c r="E26" s="23">
        <v>300.0</v>
      </c>
      <c r="F26" s="23">
        <v>300.0</v>
      </c>
      <c r="G26" s="23">
        <v>300.0</v>
      </c>
      <c r="H26" s="23">
        <v>300.0</v>
      </c>
      <c r="I26" s="23">
        <v>300.0</v>
      </c>
      <c r="J26" s="23">
        <v>300.0</v>
      </c>
      <c r="K26" s="23">
        <v>300.0</v>
      </c>
      <c r="L26" s="23">
        <v>300.0</v>
      </c>
      <c r="M26" s="23">
        <v>300.0</v>
      </c>
      <c r="N26" s="23">
        <v>300.0</v>
      </c>
      <c r="O26" s="16"/>
      <c r="P26" s="2"/>
      <c r="Q26" s="2"/>
      <c r="R26" s="2"/>
      <c r="S26" s="2"/>
      <c r="T26" s="2"/>
      <c r="U26" s="2"/>
      <c r="V26" s="2"/>
      <c r="W26" s="2"/>
      <c r="X26" s="2"/>
      <c r="Y26" s="2"/>
      <c r="Z26" s="2"/>
    </row>
    <row r="27" ht="18.0" customHeight="1">
      <c r="A27" s="33" t="s">
        <v>26</v>
      </c>
      <c r="B27" s="26"/>
      <c r="C27" s="34">
        <v>130.0</v>
      </c>
      <c r="D27" s="34">
        <v>130.0</v>
      </c>
      <c r="E27" s="34">
        <v>130.0</v>
      </c>
      <c r="F27" s="34">
        <v>130.0</v>
      </c>
      <c r="G27" s="34">
        <v>130.0</v>
      </c>
      <c r="H27" s="34">
        <v>130.0</v>
      </c>
      <c r="I27" s="34">
        <v>130.0</v>
      </c>
      <c r="J27" s="34">
        <v>130.0</v>
      </c>
      <c r="K27" s="34">
        <v>130.0</v>
      </c>
      <c r="L27" s="34">
        <v>130.0</v>
      </c>
      <c r="M27" s="34">
        <v>130.0</v>
      </c>
      <c r="N27" s="34">
        <v>130.0</v>
      </c>
      <c r="O27" s="26"/>
      <c r="P27" s="2"/>
      <c r="Q27" s="2"/>
      <c r="R27" s="2"/>
      <c r="S27" s="2"/>
      <c r="T27" s="2"/>
      <c r="U27" s="2"/>
      <c r="V27" s="2"/>
      <c r="W27" s="2"/>
      <c r="X27" s="2"/>
      <c r="Y27" s="2"/>
      <c r="Z27" s="2"/>
    </row>
    <row r="28" ht="18.0" customHeight="1">
      <c r="A28" s="32" t="s">
        <v>27</v>
      </c>
      <c r="B28" s="16"/>
      <c r="C28" s="23">
        <v>55.0</v>
      </c>
      <c r="D28" s="23">
        <v>55.0</v>
      </c>
      <c r="E28" s="23">
        <v>55.0</v>
      </c>
      <c r="F28" s="23">
        <v>55.0</v>
      </c>
      <c r="G28" s="23">
        <v>55.0</v>
      </c>
      <c r="H28" s="23">
        <v>55.0</v>
      </c>
      <c r="I28" s="23">
        <v>55.0</v>
      </c>
      <c r="J28" s="23">
        <v>55.0</v>
      </c>
      <c r="K28" s="23">
        <v>55.0</v>
      </c>
      <c r="L28" s="23">
        <v>55.0</v>
      </c>
      <c r="M28" s="23">
        <v>55.0</v>
      </c>
      <c r="N28" s="23">
        <v>55.0</v>
      </c>
      <c r="O28" s="16"/>
      <c r="P28" s="2"/>
      <c r="Q28" s="2"/>
      <c r="R28" s="2"/>
      <c r="S28" s="2"/>
      <c r="T28" s="2"/>
      <c r="U28" s="2"/>
      <c r="V28" s="2"/>
      <c r="W28" s="2"/>
      <c r="X28" s="2"/>
      <c r="Y28" s="2"/>
      <c r="Z28" s="2"/>
    </row>
    <row r="29" ht="18.0" customHeight="1">
      <c r="A29" s="33" t="s">
        <v>28</v>
      </c>
      <c r="B29" s="26"/>
      <c r="C29" s="26"/>
      <c r="D29" s="26"/>
      <c r="E29" s="26"/>
      <c r="F29" s="26"/>
      <c r="G29" s="26"/>
      <c r="H29" s="26"/>
      <c r="I29" s="26"/>
      <c r="J29" s="26"/>
      <c r="K29" s="26"/>
      <c r="L29" s="26"/>
      <c r="M29" s="26"/>
      <c r="N29" s="26"/>
      <c r="O29" s="26"/>
      <c r="P29" s="2"/>
      <c r="Q29" s="2"/>
      <c r="R29" s="2"/>
      <c r="S29" s="2"/>
      <c r="T29" s="2"/>
      <c r="U29" s="2"/>
      <c r="V29" s="2"/>
      <c r="W29" s="2"/>
      <c r="X29" s="2"/>
      <c r="Y29" s="2"/>
      <c r="Z29" s="2"/>
    </row>
    <row r="30" ht="18.0" customHeight="1">
      <c r="A30" s="22" t="s">
        <v>29</v>
      </c>
      <c r="B30" s="16"/>
      <c r="C30" s="16"/>
      <c r="D30" s="16"/>
      <c r="E30" s="16"/>
      <c r="F30" s="16"/>
      <c r="G30" s="16"/>
      <c r="H30" s="16"/>
      <c r="I30" s="16"/>
      <c r="J30" s="16"/>
      <c r="K30" s="16"/>
      <c r="L30" s="16"/>
      <c r="M30" s="16"/>
      <c r="N30" s="16"/>
      <c r="O30" s="16"/>
      <c r="P30" s="2"/>
      <c r="Q30" s="2"/>
      <c r="R30" s="2"/>
      <c r="S30" s="2"/>
      <c r="T30" s="2"/>
      <c r="U30" s="2"/>
      <c r="V30" s="2"/>
      <c r="W30" s="2"/>
      <c r="X30" s="2"/>
      <c r="Y30" s="2"/>
      <c r="Z30" s="2"/>
    </row>
    <row r="31" ht="18.0" customHeight="1">
      <c r="A31" s="35" t="s">
        <v>30</v>
      </c>
      <c r="B31" s="26"/>
      <c r="C31" s="34">
        <v>100.0</v>
      </c>
      <c r="D31" s="34">
        <v>100.0</v>
      </c>
      <c r="E31" s="34">
        <v>100.0</v>
      </c>
      <c r="F31" s="34">
        <v>100.0</v>
      </c>
      <c r="G31" s="34">
        <v>100.0</v>
      </c>
      <c r="H31" s="34">
        <v>100.0</v>
      </c>
      <c r="I31" s="34">
        <v>100.0</v>
      </c>
      <c r="J31" s="34">
        <v>100.0</v>
      </c>
      <c r="K31" s="34">
        <v>100.0</v>
      </c>
      <c r="L31" s="34">
        <v>100.0</v>
      </c>
      <c r="M31" s="34">
        <v>100.0</v>
      </c>
      <c r="N31" s="34">
        <v>100.0</v>
      </c>
      <c r="O31" s="26"/>
      <c r="P31" s="2"/>
      <c r="Q31" s="2"/>
      <c r="R31" s="2"/>
      <c r="S31" s="2"/>
      <c r="T31" s="2"/>
      <c r="U31" s="2"/>
      <c r="V31" s="2"/>
      <c r="W31" s="2"/>
      <c r="X31" s="2"/>
      <c r="Y31" s="2"/>
      <c r="Z31" s="2"/>
    </row>
    <row r="32" ht="18.0" customHeight="1">
      <c r="A32" s="22" t="s">
        <v>31</v>
      </c>
      <c r="B32" s="16"/>
      <c r="C32" s="16"/>
      <c r="D32" s="16"/>
      <c r="E32" s="16"/>
      <c r="F32" s="16"/>
      <c r="G32" s="16"/>
      <c r="H32" s="16"/>
      <c r="I32" s="16"/>
      <c r="J32" s="16"/>
      <c r="K32" s="16"/>
      <c r="L32" s="16"/>
      <c r="M32" s="16"/>
      <c r="N32" s="16"/>
      <c r="O32" s="16"/>
      <c r="P32" s="2"/>
      <c r="Q32" s="2"/>
      <c r="R32" s="2"/>
      <c r="S32" s="2"/>
      <c r="T32" s="2"/>
      <c r="U32" s="2"/>
      <c r="V32" s="2"/>
      <c r="W32" s="2"/>
      <c r="X32" s="2"/>
      <c r="Y32" s="2"/>
      <c r="Z32" s="2"/>
    </row>
    <row r="33" ht="18.0" customHeight="1">
      <c r="A33" s="33" t="s">
        <v>31</v>
      </c>
      <c r="B33" s="26"/>
      <c r="C33" s="26"/>
      <c r="D33" s="26"/>
      <c r="E33" s="26"/>
      <c r="F33" s="26"/>
      <c r="G33" s="26"/>
      <c r="H33" s="26"/>
      <c r="I33" s="26"/>
      <c r="J33" s="26"/>
      <c r="K33" s="26"/>
      <c r="L33" s="26"/>
      <c r="M33" s="26"/>
      <c r="N33" s="26"/>
      <c r="O33" s="26"/>
      <c r="P33" s="2"/>
      <c r="Q33" s="2"/>
      <c r="R33" s="2"/>
      <c r="S33" s="2"/>
      <c r="T33" s="2"/>
      <c r="U33" s="2"/>
      <c r="V33" s="2"/>
      <c r="W33" s="2"/>
      <c r="X33" s="2"/>
      <c r="Y33" s="2"/>
      <c r="Z33" s="2"/>
    </row>
    <row r="34" ht="18.0" customHeight="1">
      <c r="A34" s="22" t="s">
        <v>32</v>
      </c>
      <c r="B34" s="16"/>
      <c r="C34" s="23">
        <v>200.0</v>
      </c>
      <c r="D34" s="23">
        <v>200.0</v>
      </c>
      <c r="E34" s="23">
        <v>200.0</v>
      </c>
      <c r="F34" s="23">
        <v>200.0</v>
      </c>
      <c r="G34" s="23">
        <v>200.0</v>
      </c>
      <c r="H34" s="23">
        <v>200.0</v>
      </c>
      <c r="I34" s="23">
        <v>200.0</v>
      </c>
      <c r="J34" s="23">
        <v>200.0</v>
      </c>
      <c r="K34" s="23">
        <v>200.0</v>
      </c>
      <c r="L34" s="23">
        <v>200.0</v>
      </c>
      <c r="M34" s="23">
        <v>200.0</v>
      </c>
      <c r="N34" s="23">
        <v>200.0</v>
      </c>
      <c r="O34" s="16"/>
      <c r="P34" s="2"/>
      <c r="Q34" s="2"/>
      <c r="R34" s="2"/>
      <c r="S34" s="2"/>
      <c r="T34" s="2"/>
      <c r="U34" s="2"/>
      <c r="V34" s="2"/>
      <c r="W34" s="2"/>
      <c r="X34" s="2"/>
      <c r="Y34" s="2"/>
      <c r="Z34" s="2"/>
    </row>
    <row r="35" ht="18.0" customHeight="1">
      <c r="A35" s="27" t="s">
        <v>33</v>
      </c>
      <c r="B35" s="28">
        <f t="shared" ref="B35:O35" si="5">SUM(B14:B34)</f>
        <v>0</v>
      </c>
      <c r="C35" s="28">
        <f t="shared" si="5"/>
        <v>9985</v>
      </c>
      <c r="D35" s="28">
        <f t="shared" si="5"/>
        <v>10485</v>
      </c>
      <c r="E35" s="28">
        <f t="shared" si="5"/>
        <v>10985</v>
      </c>
      <c r="F35" s="28">
        <f t="shared" si="5"/>
        <v>11485</v>
      </c>
      <c r="G35" s="28">
        <f t="shared" si="5"/>
        <v>11985</v>
      </c>
      <c r="H35" s="28">
        <f t="shared" si="5"/>
        <v>12485</v>
      </c>
      <c r="I35" s="28">
        <f t="shared" si="5"/>
        <v>13485</v>
      </c>
      <c r="J35" s="28">
        <f t="shared" si="5"/>
        <v>13985</v>
      </c>
      <c r="K35" s="28">
        <f t="shared" si="5"/>
        <v>14485</v>
      </c>
      <c r="L35" s="28">
        <f t="shared" si="5"/>
        <v>14985</v>
      </c>
      <c r="M35" s="28">
        <f t="shared" si="5"/>
        <v>15485</v>
      </c>
      <c r="N35" s="28">
        <f t="shared" si="5"/>
        <v>15985</v>
      </c>
      <c r="O35" s="28">
        <f t="shared" si="5"/>
        <v>0</v>
      </c>
      <c r="P35" s="2"/>
      <c r="Q35" s="2"/>
      <c r="R35" s="2"/>
      <c r="S35" s="2"/>
      <c r="T35" s="2"/>
      <c r="U35" s="2"/>
      <c r="V35" s="2"/>
      <c r="W35" s="2"/>
      <c r="X35" s="2"/>
      <c r="Y35" s="2"/>
      <c r="Z35" s="2"/>
    </row>
    <row r="36" ht="18.0" customHeight="1">
      <c r="A36" s="22" t="s">
        <v>34</v>
      </c>
      <c r="B36" s="16"/>
      <c r="C36" s="16"/>
      <c r="D36" s="16"/>
      <c r="E36" s="16"/>
      <c r="F36" s="16"/>
      <c r="G36" s="16"/>
      <c r="H36" s="16"/>
      <c r="I36" s="16"/>
      <c r="J36" s="16"/>
      <c r="K36" s="16"/>
      <c r="L36" s="16"/>
      <c r="M36" s="16"/>
      <c r="N36" s="16"/>
      <c r="O36" s="16"/>
      <c r="P36" s="2"/>
      <c r="Q36" s="2"/>
      <c r="R36" s="2"/>
      <c r="S36" s="2"/>
      <c r="T36" s="2"/>
      <c r="U36" s="2"/>
      <c r="V36" s="2"/>
      <c r="W36" s="2"/>
      <c r="X36" s="2"/>
      <c r="Y36" s="2"/>
      <c r="Z36" s="2"/>
    </row>
    <row r="37" ht="18.0" customHeight="1">
      <c r="A37" s="33" t="s">
        <v>35</v>
      </c>
      <c r="B37" s="26"/>
      <c r="C37" s="26"/>
      <c r="D37" s="26"/>
      <c r="E37" s="26"/>
      <c r="F37" s="26"/>
      <c r="G37" s="26"/>
      <c r="H37" s="26"/>
      <c r="I37" s="26"/>
      <c r="J37" s="26"/>
      <c r="K37" s="26"/>
      <c r="L37" s="26"/>
      <c r="M37" s="26"/>
      <c r="N37" s="26"/>
      <c r="O37" s="26"/>
      <c r="P37" s="2"/>
      <c r="Q37" s="2"/>
      <c r="R37" s="2"/>
      <c r="S37" s="2"/>
      <c r="T37" s="2"/>
      <c r="U37" s="2"/>
      <c r="V37" s="2"/>
      <c r="W37" s="2"/>
      <c r="X37" s="2"/>
      <c r="Y37" s="2"/>
      <c r="Z37" s="2"/>
    </row>
    <row r="38" ht="18.0" customHeight="1">
      <c r="A38" s="22" t="s">
        <v>36</v>
      </c>
      <c r="B38" s="16"/>
      <c r="C38" s="16"/>
      <c r="D38" s="16"/>
      <c r="E38" s="16"/>
      <c r="F38" s="16"/>
      <c r="G38" s="16"/>
      <c r="H38" s="16"/>
      <c r="I38" s="16"/>
      <c r="J38" s="16"/>
      <c r="K38" s="16"/>
      <c r="L38" s="16"/>
      <c r="M38" s="16"/>
      <c r="N38" s="16"/>
      <c r="O38" s="16"/>
      <c r="P38" s="2"/>
      <c r="Q38" s="2"/>
      <c r="R38" s="2"/>
      <c r="S38" s="2"/>
      <c r="T38" s="2"/>
      <c r="U38" s="2"/>
      <c r="V38" s="2"/>
      <c r="W38" s="2"/>
      <c r="X38" s="2"/>
      <c r="Y38" s="2"/>
      <c r="Z38" s="2"/>
    </row>
    <row r="39" ht="18.0" customHeight="1">
      <c r="A39" s="33" t="s">
        <v>37</v>
      </c>
      <c r="B39" s="26"/>
      <c r="C39" s="26"/>
      <c r="D39" s="26"/>
      <c r="E39" s="26"/>
      <c r="F39" s="26"/>
      <c r="G39" s="26"/>
      <c r="H39" s="26"/>
      <c r="I39" s="26"/>
      <c r="J39" s="26"/>
      <c r="K39" s="26"/>
      <c r="L39" s="26"/>
      <c r="M39" s="26"/>
      <c r="N39" s="26"/>
      <c r="O39" s="26"/>
      <c r="P39" s="2"/>
      <c r="Q39" s="2"/>
      <c r="R39" s="2"/>
      <c r="S39" s="2"/>
      <c r="T39" s="2"/>
      <c r="U39" s="2"/>
      <c r="V39" s="2"/>
      <c r="W39" s="2"/>
      <c r="X39" s="2"/>
      <c r="Y39" s="2"/>
      <c r="Z39" s="2"/>
    </row>
    <row r="40" ht="18.0" customHeight="1">
      <c r="A40" s="22" t="s">
        <v>38</v>
      </c>
      <c r="B40" s="16"/>
      <c r="C40" s="16"/>
      <c r="D40" s="16"/>
      <c r="E40" s="16"/>
      <c r="F40" s="16"/>
      <c r="G40" s="16"/>
      <c r="H40" s="16"/>
      <c r="I40" s="16"/>
      <c r="J40" s="16"/>
      <c r="K40" s="16"/>
      <c r="L40" s="16"/>
      <c r="M40" s="16"/>
      <c r="N40" s="16"/>
      <c r="O40" s="16"/>
      <c r="P40" s="2"/>
      <c r="Q40" s="2"/>
      <c r="R40" s="2"/>
      <c r="S40" s="2"/>
      <c r="T40" s="2"/>
      <c r="U40" s="2"/>
      <c r="V40" s="2"/>
      <c r="W40" s="2"/>
      <c r="X40" s="2"/>
      <c r="Y40" s="2"/>
      <c r="Z40" s="2"/>
    </row>
    <row r="41" ht="18.0" customHeight="1">
      <c r="A41" s="27" t="s">
        <v>39</v>
      </c>
      <c r="B41" s="28">
        <f t="shared" ref="B41:O41" si="6">SUM(B35:B40)</f>
        <v>0</v>
      </c>
      <c r="C41" s="28">
        <f t="shared" si="6"/>
        <v>9985</v>
      </c>
      <c r="D41" s="28">
        <f t="shared" si="6"/>
        <v>10485</v>
      </c>
      <c r="E41" s="28">
        <f t="shared" si="6"/>
        <v>10985</v>
      </c>
      <c r="F41" s="28">
        <f t="shared" si="6"/>
        <v>11485</v>
      </c>
      <c r="G41" s="28">
        <f t="shared" si="6"/>
        <v>11985</v>
      </c>
      <c r="H41" s="28">
        <f t="shared" si="6"/>
        <v>12485</v>
      </c>
      <c r="I41" s="28">
        <f t="shared" si="6"/>
        <v>13485</v>
      </c>
      <c r="J41" s="28">
        <f t="shared" si="6"/>
        <v>13985</v>
      </c>
      <c r="K41" s="28">
        <f t="shared" si="6"/>
        <v>14485</v>
      </c>
      <c r="L41" s="28">
        <f t="shared" si="6"/>
        <v>14985</v>
      </c>
      <c r="M41" s="28">
        <f t="shared" si="6"/>
        <v>15485</v>
      </c>
      <c r="N41" s="28">
        <f t="shared" si="6"/>
        <v>15985</v>
      </c>
      <c r="O41" s="28">
        <f t="shared" si="6"/>
        <v>0</v>
      </c>
      <c r="P41" s="2"/>
      <c r="Q41" s="2"/>
      <c r="R41" s="2"/>
      <c r="S41" s="2"/>
      <c r="T41" s="2"/>
      <c r="U41" s="2"/>
      <c r="V41" s="2"/>
      <c r="W41" s="2"/>
      <c r="X41" s="2"/>
      <c r="Y41" s="2"/>
      <c r="Z41" s="2"/>
    </row>
    <row r="42" ht="18.0" customHeight="1">
      <c r="A42" s="15" t="s">
        <v>40</v>
      </c>
      <c r="B42" s="28">
        <f t="shared" ref="B42:O42" si="7">(B11-B41)</f>
        <v>0</v>
      </c>
      <c r="C42" s="28">
        <f t="shared" si="7"/>
        <v>5940</v>
      </c>
      <c r="D42" s="28">
        <f t="shared" si="7"/>
        <v>12605</v>
      </c>
      <c r="E42" s="28">
        <f t="shared" si="7"/>
        <v>19995</v>
      </c>
      <c r="F42" s="28">
        <f t="shared" si="7"/>
        <v>28110</v>
      </c>
      <c r="G42" s="28">
        <f t="shared" si="7"/>
        <v>36950</v>
      </c>
      <c r="H42" s="28">
        <f t="shared" si="7"/>
        <v>46515</v>
      </c>
      <c r="I42" s="28">
        <f t="shared" si="7"/>
        <v>56305</v>
      </c>
      <c r="J42" s="28">
        <f t="shared" si="7"/>
        <v>66820</v>
      </c>
      <c r="K42" s="28">
        <f t="shared" si="7"/>
        <v>78060</v>
      </c>
      <c r="L42" s="28">
        <f t="shared" si="7"/>
        <v>89925</v>
      </c>
      <c r="M42" s="28">
        <f t="shared" si="7"/>
        <v>102615</v>
      </c>
      <c r="N42" s="28">
        <f t="shared" si="7"/>
        <v>116030</v>
      </c>
      <c r="O42" s="28">
        <f t="shared" si="7"/>
        <v>0</v>
      </c>
      <c r="P42" s="2"/>
      <c r="Q42" s="2"/>
      <c r="R42" s="2"/>
      <c r="S42" s="2"/>
      <c r="T42" s="2"/>
      <c r="U42" s="2"/>
      <c r="V42" s="2"/>
      <c r="W42" s="2"/>
      <c r="X42" s="2"/>
      <c r="Y42" s="2"/>
      <c r="Z42" s="2"/>
    </row>
    <row r="43" ht="7.5" customHeight="1">
      <c r="A43" s="36"/>
      <c r="B43" s="2"/>
      <c r="C43" s="2"/>
      <c r="D43" s="2"/>
      <c r="E43" s="2"/>
      <c r="F43" s="2"/>
      <c r="G43" s="2"/>
      <c r="H43" s="2"/>
      <c r="I43" s="2"/>
      <c r="J43" s="2"/>
      <c r="K43" s="2"/>
      <c r="L43" s="2"/>
      <c r="M43" s="2"/>
      <c r="N43" s="2"/>
      <c r="O43" s="2"/>
      <c r="P43" s="2"/>
      <c r="Q43" s="2"/>
      <c r="R43" s="2"/>
      <c r="S43" s="2"/>
      <c r="T43" s="2"/>
      <c r="U43" s="2"/>
      <c r="V43" s="2"/>
      <c r="W43" s="2"/>
      <c r="X43" s="2"/>
      <c r="Y43" s="2"/>
      <c r="Z43" s="2"/>
    </row>
    <row r="44" ht="18.0" customHeight="1">
      <c r="A44" s="22"/>
      <c r="B44" s="37"/>
      <c r="C44" s="37"/>
      <c r="D44" s="37"/>
      <c r="E44" s="37"/>
      <c r="F44" s="37"/>
      <c r="G44" s="37"/>
      <c r="H44" s="37"/>
      <c r="I44" s="37"/>
      <c r="J44" s="37"/>
      <c r="K44" s="37"/>
      <c r="L44" s="37"/>
      <c r="M44" s="37"/>
      <c r="N44" s="37"/>
      <c r="O44" s="38"/>
      <c r="P44" s="2"/>
      <c r="Q44" s="2"/>
      <c r="R44" s="2"/>
      <c r="S44" s="2"/>
      <c r="T44" s="2"/>
      <c r="U44" s="2"/>
      <c r="V44" s="2"/>
      <c r="W44" s="2"/>
      <c r="X44" s="2"/>
      <c r="Y44" s="2"/>
      <c r="Z44" s="2"/>
    </row>
    <row r="45" ht="18.0" customHeight="1">
      <c r="A45" s="39" t="s">
        <v>41</v>
      </c>
      <c r="B45" s="16"/>
      <c r="C45" s="23">
        <v>60.0</v>
      </c>
      <c r="D45" s="23">
        <v>65.0</v>
      </c>
      <c r="E45" s="23">
        <v>70.0</v>
      </c>
      <c r="F45" s="23">
        <v>75.0</v>
      </c>
      <c r="G45" s="23">
        <v>80.0</v>
      </c>
      <c r="H45" s="23">
        <v>85.0</v>
      </c>
      <c r="I45" s="23">
        <v>90.0</v>
      </c>
      <c r="J45" s="23">
        <v>95.0</v>
      </c>
      <c r="K45" s="23">
        <v>100.0</v>
      </c>
      <c r="L45" s="23">
        <v>105.0</v>
      </c>
      <c r="M45" s="23">
        <v>110.0</v>
      </c>
      <c r="N45" s="23">
        <v>115.0</v>
      </c>
      <c r="O45" s="23">
        <v>1050.0</v>
      </c>
      <c r="P45" s="2"/>
      <c r="Q45" s="2"/>
      <c r="R45" s="2"/>
      <c r="S45" s="2"/>
      <c r="T45" s="2"/>
      <c r="U45" s="2"/>
      <c r="V45" s="2"/>
      <c r="W45" s="2"/>
      <c r="X45" s="2"/>
      <c r="Y45" s="2"/>
      <c r="Z45" s="2"/>
    </row>
    <row r="46" ht="18.0" customHeight="1">
      <c r="A46" s="33" t="s">
        <v>42</v>
      </c>
      <c r="B46" s="26"/>
      <c r="C46" s="26"/>
      <c r="D46" s="26"/>
      <c r="E46" s="26"/>
      <c r="F46" s="26"/>
      <c r="G46" s="26"/>
      <c r="H46" s="26"/>
      <c r="I46" s="26"/>
      <c r="J46" s="26"/>
      <c r="K46" s="26"/>
      <c r="L46" s="26"/>
      <c r="M46" s="26"/>
      <c r="N46" s="26"/>
      <c r="O46" s="26"/>
      <c r="P46" s="2"/>
      <c r="Q46" s="2"/>
      <c r="R46" s="2"/>
      <c r="S46" s="2"/>
      <c r="T46" s="2"/>
      <c r="U46" s="2"/>
      <c r="V46" s="2"/>
      <c r="W46" s="2"/>
      <c r="X46" s="2"/>
      <c r="Y46" s="2"/>
      <c r="Z46" s="2"/>
    </row>
    <row r="47" ht="18.0" customHeight="1">
      <c r="A47" s="22" t="s">
        <v>43</v>
      </c>
      <c r="B47" s="16"/>
      <c r="C47" s="16"/>
      <c r="D47" s="16"/>
      <c r="E47" s="16"/>
      <c r="F47" s="16"/>
      <c r="G47" s="16"/>
      <c r="H47" s="16"/>
      <c r="I47" s="16"/>
      <c r="J47" s="16"/>
      <c r="K47" s="16"/>
      <c r="L47" s="16"/>
      <c r="M47" s="16"/>
      <c r="N47" s="16"/>
      <c r="O47" s="16"/>
      <c r="P47" s="2"/>
      <c r="Q47" s="2"/>
      <c r="R47" s="2"/>
      <c r="S47" s="2"/>
      <c r="T47" s="2"/>
      <c r="U47" s="2"/>
      <c r="V47" s="2"/>
      <c r="W47" s="2"/>
      <c r="X47" s="2"/>
      <c r="Y47" s="2"/>
      <c r="Z47" s="2"/>
    </row>
    <row r="48" ht="18.0" customHeight="1">
      <c r="A48" s="25" t="s">
        <v>44</v>
      </c>
      <c r="B48" s="26"/>
      <c r="C48" s="26"/>
      <c r="D48" s="26"/>
      <c r="E48" s="26"/>
      <c r="F48" s="26"/>
      <c r="G48" s="26"/>
      <c r="H48" s="26"/>
      <c r="I48" s="26"/>
      <c r="J48" s="26"/>
      <c r="K48" s="26"/>
      <c r="L48" s="26"/>
      <c r="M48" s="26"/>
      <c r="N48" s="26"/>
      <c r="O48" s="26"/>
      <c r="P48" s="2"/>
      <c r="Q48" s="2"/>
      <c r="R48" s="2"/>
      <c r="S48" s="2"/>
      <c r="T48" s="2"/>
      <c r="U48" s="2"/>
      <c r="V48" s="2"/>
      <c r="W48" s="2"/>
      <c r="X48" s="2"/>
      <c r="Y48" s="2"/>
      <c r="Z48" s="2"/>
    </row>
    <row r="49" ht="18.0" customHeight="1">
      <c r="A49" s="22" t="s">
        <v>45</v>
      </c>
      <c r="B49" s="16"/>
      <c r="C49" s="16"/>
      <c r="D49" s="16"/>
      <c r="E49" s="16"/>
      <c r="F49" s="16"/>
      <c r="G49" s="16"/>
      <c r="H49" s="16"/>
      <c r="I49" s="16"/>
      <c r="J49" s="16"/>
      <c r="K49" s="16"/>
      <c r="L49" s="16"/>
      <c r="M49" s="16"/>
      <c r="N49" s="16"/>
      <c r="O49" s="16"/>
      <c r="P49" s="2"/>
      <c r="Q49" s="2"/>
      <c r="R49" s="2"/>
      <c r="S49" s="2"/>
      <c r="T49" s="2"/>
      <c r="U49" s="2"/>
      <c r="V49" s="2"/>
      <c r="W49" s="2"/>
      <c r="X49" s="2"/>
      <c r="Y49" s="2"/>
      <c r="Z49" s="2"/>
    </row>
    <row r="50" ht="18.0" customHeight="1">
      <c r="A50" s="33" t="s">
        <v>46</v>
      </c>
      <c r="B50" s="26"/>
      <c r="C50" s="26"/>
      <c r="D50" s="26"/>
      <c r="E50" s="26"/>
      <c r="F50" s="26"/>
      <c r="G50" s="26"/>
      <c r="H50" s="26"/>
      <c r="I50" s="26"/>
      <c r="J50" s="26"/>
      <c r="K50" s="26"/>
      <c r="L50" s="26"/>
      <c r="M50" s="26"/>
      <c r="N50" s="26"/>
      <c r="O50" s="26"/>
      <c r="P50" s="2"/>
      <c r="Q50" s="2"/>
      <c r="R50" s="2"/>
      <c r="S50" s="2"/>
      <c r="T50" s="2"/>
      <c r="U50" s="2"/>
      <c r="V50" s="2"/>
      <c r="W50" s="2"/>
      <c r="X50" s="2"/>
      <c r="Y50" s="2"/>
      <c r="Z50" s="2"/>
    </row>
    <row r="51" ht="9.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9.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9.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9.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9.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9.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9.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9.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9.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9.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9.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9.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9.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9.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9.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9.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9.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9.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9.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9.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9.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9.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9.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9.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9.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9.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9.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9.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9.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9.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9.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9.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9.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9.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9.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9.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9.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9.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9.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9.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9.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9.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9.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9.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9.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9.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9.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9.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9.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9.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9.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9.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9.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9.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9.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9.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9.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9.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9.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9.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9.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9.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9.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9.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9.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9.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9.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9.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9.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9.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9.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9.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9.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9.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9.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9.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9.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9.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9.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9.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9.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9.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9.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9.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9.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9.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9.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9.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9.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9.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9.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9.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9.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9.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9.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9.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9.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9.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9.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9.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9.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9.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9.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9.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9.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9.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9.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9.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9.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9.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9.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9.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9.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9.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9.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9.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9.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9.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9.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9.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9.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9.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9.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9.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9.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9.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9.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9.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9.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9.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9.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9.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9.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9.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9.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9.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9.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9.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9.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9.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9.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9.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9.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9.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9.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9.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9.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9.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9.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9.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9.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9.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9.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9.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9.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9.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9.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9.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9.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9.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9.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9.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9.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9.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9.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9.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9.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9.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9.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9.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9.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9.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9.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9.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9.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9.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9.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9.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9.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9.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9.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9.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9.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9.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9.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9.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9.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9.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9.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9.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9.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9.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9.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9.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9.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9.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9.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9.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9.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9.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9.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9.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9.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9.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9.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9.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9.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9.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9.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9.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9.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9.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9.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9.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9.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9.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9.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9.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9.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9.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9.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9.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9.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9.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9.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9.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9.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9.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9.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9.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9.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9.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9.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9.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9.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9.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9.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9.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9.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9.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9.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9.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9.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9.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9.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9.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9.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9.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9.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9.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9.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9.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9.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9.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9.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9.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9.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9.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9.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9.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9.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9.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9.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9.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9.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9.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9.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9.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9.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9.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9.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9.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9.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9.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9.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9.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9.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9.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9.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9.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9.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9.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9.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9.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9.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9.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9.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9.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9.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9.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9.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9.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9.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9.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9.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9.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9.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9.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9.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9.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9.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9.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9.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9.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9.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9.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9.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9.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9.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9.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9.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9.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9.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9.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9.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9.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9.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9.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9.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9.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9.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9.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9.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9.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9.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9.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9.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9.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9.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9.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9.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9.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9.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9.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9.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9.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9.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9.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9.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9.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9.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9.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9.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9.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9.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9.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9.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9.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9.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9.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9.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9.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9.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9.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9.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9.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9.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9.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9.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9.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9.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9.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9.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9.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9.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9.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9.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9.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9.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9.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9.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9.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9.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9.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9.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9.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9.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9.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9.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9.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9.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9.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9.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9.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9.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9.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9.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9.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9.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9.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9.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9.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9.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9.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9.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9.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9.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9.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9.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9.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9.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9.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9.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9.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9.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9.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9.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9.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9.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9.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9.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9.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9.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9.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9.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9.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9.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9.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9.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9.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9.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9.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9.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9.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9.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9.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9.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9.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9.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9.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9.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9.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9.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9.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9.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9.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9.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9.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9.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9.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9.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9.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9.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9.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9.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9.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9.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9.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9.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9.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9.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9.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9.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9.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9.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9.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9.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9.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9.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9.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9.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9.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9.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9.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9.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9.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9.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9.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9.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9.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9.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9.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9.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9.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9.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9.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9.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9.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9.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9.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9.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9.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9.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9.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9.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9.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9.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9.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9.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9.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9.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9.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9.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9.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9.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9.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9.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9.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9.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9.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9.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9.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9.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9.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9.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9.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9.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9.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9.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9.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9.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9.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9.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9.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9.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9.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9.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9.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9.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9.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9.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9.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9.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9.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9.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9.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9.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9.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9.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9.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9.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9.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9.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9.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9.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9.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9.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9.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9.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9.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9.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9.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9.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9.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9.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9.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9.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9.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9.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9.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9.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9.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9.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9.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9.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9.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9.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9.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9.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9.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9.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9.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9.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9.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9.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9.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9.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9.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9.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9.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9.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9.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9.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9.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9.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9.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9.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9.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9.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9.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9.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9.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9.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9.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9.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9.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9.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9.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9.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9.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9.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9.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9.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9.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9.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9.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9.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9.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9.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9.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9.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9.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9.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9.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9.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9.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9.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9.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9.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9.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9.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9.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9.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9.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9.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9.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9.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9.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9.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9.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9.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9.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9.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9.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9.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9.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9.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9.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9.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9.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9.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9.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9.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9.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9.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9.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9.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9.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9.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9.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9.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9.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9.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9.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9.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9.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9.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9.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9.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9.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9.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9.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9.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9.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9.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9.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9.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9.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9.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9.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9.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9.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9.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9.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9.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9.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9.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9.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9.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9.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9.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9.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9.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9.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9.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9.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9.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9.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9.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9.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9.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9.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9.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9.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9.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9.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9.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9.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9.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9.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9.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9.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9.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9.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9.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9.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9.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9.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9.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9.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9.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9.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9.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9.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9.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9.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9.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9.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9.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9.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9.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9.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9.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9.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9.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9.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9.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9.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9.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9.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9.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9.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9.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9.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9.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9.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9.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9.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9.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9.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9.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9.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9.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9.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9.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9.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9.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9.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9.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9.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9.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9.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9.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9.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9.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9.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9.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9.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9.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9.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9.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9.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9.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9.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9.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9.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9.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9.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9.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9.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9.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9.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9.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9.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9.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9.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9.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9.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9.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9.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9.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9.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9.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9.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9.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9.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9.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9.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9.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9.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9.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9.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9.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9.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9.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9.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9.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9.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9.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9.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9.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9.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9.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9.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9.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9.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9.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9.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9.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9.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9.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9.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9.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9.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9.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9.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9.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9.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9.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9.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9.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9.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9.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9.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9.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9.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9.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9.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9.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9.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9.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9.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9.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9.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9.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9.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9.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9.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9.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9.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9.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9.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9.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9.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9.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9.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9.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9.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9.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9.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9.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9.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9.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9.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9.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9.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9.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9.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9.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9.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9.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9.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9.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9.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9.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9.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9.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9.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9.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9.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9.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9.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9.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9.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9.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9.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9.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9.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9.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9.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9.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9.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9.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9.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9.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9.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9.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9.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9.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9.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9.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9.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9.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9.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9.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9.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9.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9.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9.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9.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9.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9.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9.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9.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9.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9.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9.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9.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9.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9.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9.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9.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9.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9.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9.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9.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9.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9.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9.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9.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9.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9.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9.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9.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9.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9.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9.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9.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9.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9.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9.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9.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9.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9.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9.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9.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9.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9.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9.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9.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9.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9.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9.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9.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9.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9.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9.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9.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9.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9.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9.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9.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9.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9.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9.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9.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9.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9.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9.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9.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1" max="26" width="8.0"/>
  </cols>
  <sheetData>
    <row r="1" ht="9.75" customHeight="1"/>
    <row r="2" ht="9.75" customHeight="1"/>
    <row r="3" ht="9.75" customHeight="1"/>
    <row r="4" ht="9.75" customHeight="1"/>
    <row r="5" ht="9.75" customHeight="1"/>
    <row r="6" ht="9.75" customHeight="1"/>
    <row r="7" ht="9.75" customHeight="1"/>
    <row r="8" ht="9.75" customHeight="1"/>
    <row r="9" ht="9.75" customHeight="1"/>
    <row r="10" ht="9.75" customHeight="1"/>
    <row r="11" ht="9.75" customHeight="1"/>
    <row r="12" ht="9.75" customHeight="1"/>
    <row r="13" ht="9.75" customHeight="1"/>
    <row r="14" ht="9.75" customHeight="1"/>
    <row r="15" ht="9.75" customHeight="1"/>
    <row r="16" ht="9.75" customHeight="1"/>
    <row r="17" ht="9.75" customHeight="1"/>
    <row r="18" ht="9.75" customHeight="1"/>
    <row r="19" ht="9.75" customHeight="1"/>
    <row r="20" ht="9.75" customHeight="1"/>
    <row r="21" ht="9.75" customHeight="1"/>
    <row r="22" ht="9.75" customHeight="1"/>
    <row r="23" ht="9.75" customHeight="1"/>
    <row r="24" ht="9.75" customHeight="1"/>
    <row r="25" ht="9.75" customHeight="1"/>
    <row r="26" ht="9.75" customHeight="1"/>
    <row r="27" ht="9.75" customHeight="1"/>
    <row r="28" ht="9.75" customHeight="1"/>
    <row r="29" ht="9.75" customHeight="1"/>
    <row r="30" ht="9.75" customHeight="1"/>
    <row r="31" ht="9.75" customHeight="1"/>
    <row r="32" ht="9.75" customHeight="1"/>
    <row r="33" ht="9.75" customHeight="1"/>
    <row r="34" ht="9.75" customHeight="1"/>
    <row r="35" ht="9.75" customHeight="1"/>
    <row r="36" ht="9.75" customHeight="1"/>
    <row r="37" ht="9.75" customHeight="1"/>
    <row r="38" ht="9.75" customHeight="1"/>
    <row r="39" ht="9.75" customHeight="1"/>
    <row r="40" ht="9.75" customHeight="1"/>
    <row r="41" ht="9.75" customHeight="1"/>
    <row r="42" ht="9.75" customHeight="1"/>
    <row r="43" ht="9.75" customHeight="1"/>
    <row r="44" ht="9.75" customHeight="1"/>
    <row r="45" ht="9.75" customHeight="1"/>
    <row r="46" ht="9.75" customHeight="1"/>
    <row r="47" ht="9.75" customHeight="1"/>
    <row r="48" ht="9.75" customHeight="1"/>
    <row r="49" ht="9.75" customHeight="1"/>
    <row r="50" ht="9.75" customHeight="1"/>
    <row r="5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row r="66" ht="9.75" customHeight="1"/>
    <row r="67" ht="9.75" customHeight="1"/>
    <row r="68" ht="9.75" customHeight="1"/>
    <row r="69" ht="9.75" customHeight="1"/>
    <row r="70" ht="9.75" customHeight="1"/>
    <row r="71" ht="9.75" customHeight="1"/>
    <row r="72" ht="9.75" customHeight="1"/>
    <row r="73" ht="9.75" customHeight="1"/>
    <row r="74" ht="9.75" customHeight="1"/>
    <row r="75" ht="9.75" customHeight="1"/>
    <row r="76" ht="9.75" customHeight="1"/>
    <row r="77" ht="9.75" customHeight="1"/>
    <row r="78" ht="9.75" customHeight="1"/>
    <row r="79" ht="9.75" customHeight="1"/>
    <row r="80" ht="9.75" customHeight="1"/>
    <row r="81" ht="9.75" customHeight="1"/>
    <row r="82" ht="9.75" customHeight="1"/>
    <row r="83" ht="9.75" customHeight="1"/>
    <row r="84" ht="9.75" customHeight="1"/>
    <row r="85" ht="9.75" customHeight="1"/>
    <row r="86" ht="9.75" customHeight="1"/>
    <row r="87" ht="9.75" customHeight="1"/>
    <row r="88" ht="9.75" customHeight="1"/>
    <row r="89" ht="9.75" customHeight="1"/>
    <row r="90" ht="9.75" customHeight="1"/>
    <row r="91" ht="9.75" customHeight="1"/>
    <row r="92" ht="9.75" customHeight="1"/>
    <row r="93" ht="9.75" customHeight="1"/>
    <row r="94" ht="9.75" customHeight="1"/>
    <row r="95" ht="9.75" customHeight="1"/>
    <row r="96" ht="9.75" customHeight="1"/>
    <row r="97" ht="9.75" customHeight="1"/>
    <row r="98" ht="9.75" customHeight="1"/>
    <row r="99" ht="9.75" customHeight="1"/>
    <row r="100" ht="9.75" customHeight="1"/>
    <row r="101" ht="9.75" customHeight="1"/>
    <row r="102" ht="9.75" customHeight="1"/>
    <row r="103" ht="9.75" customHeight="1"/>
    <row r="104" ht="9.75" customHeight="1"/>
    <row r="105" ht="9.75" customHeight="1"/>
    <row r="106" ht="9.75" customHeight="1"/>
    <row r="107" ht="9.75" customHeight="1"/>
    <row r="108" ht="9.75" customHeight="1"/>
    <row r="109" ht="9.75" customHeight="1"/>
    <row r="110" ht="9.75" customHeight="1"/>
    <row r="111" ht="9.75" customHeight="1"/>
    <row r="112" ht="9.75" customHeight="1"/>
    <row r="113" ht="9.75" customHeight="1"/>
    <row r="114" ht="9.75" customHeight="1"/>
    <row r="115" ht="9.75" customHeight="1"/>
    <row r="116" ht="9.75" customHeight="1"/>
    <row r="117" ht="9.75" customHeight="1"/>
    <row r="118" ht="9.75" customHeight="1"/>
    <row r="119" ht="9.75" customHeight="1"/>
    <row r="120" ht="9.75" customHeight="1"/>
    <row r="121" ht="9.75" customHeight="1"/>
    <row r="122" ht="9.75" customHeight="1"/>
    <row r="123" ht="9.75" customHeight="1"/>
    <row r="124" ht="9.75" customHeight="1"/>
    <row r="125" ht="9.75" customHeight="1"/>
    <row r="126" ht="9.75" customHeight="1"/>
    <row r="127" ht="9.75" customHeight="1"/>
    <row r="128" ht="9.75" customHeight="1"/>
    <row r="129" ht="9.75" customHeight="1"/>
    <row r="130" ht="9.75" customHeight="1"/>
    <row r="131" ht="9.75" customHeight="1"/>
    <row r="132" ht="9.75" customHeight="1"/>
    <row r="133" ht="9.75" customHeight="1"/>
    <row r="134" ht="9.75" customHeight="1"/>
    <row r="135" ht="9.75" customHeight="1"/>
    <row r="136" ht="9.75" customHeight="1"/>
    <row r="137" ht="9.75" customHeight="1"/>
    <row r="138" ht="9.75" customHeight="1"/>
    <row r="139" ht="9.75" customHeight="1"/>
    <row r="140" ht="9.75" customHeight="1"/>
    <row r="141" ht="9.75" customHeight="1"/>
    <row r="142" ht="9.75" customHeight="1"/>
    <row r="143" ht="9.75" customHeight="1"/>
    <row r="144" ht="9.75" customHeight="1"/>
    <row r="145" ht="9.75" customHeight="1"/>
    <row r="146" ht="9.75" customHeight="1"/>
    <row r="147" ht="9.75" customHeight="1"/>
    <row r="148" ht="9.75" customHeight="1"/>
    <row r="149" ht="9.75" customHeight="1"/>
    <row r="150" ht="9.75" customHeight="1"/>
    <row r="151" ht="9.75" customHeight="1"/>
    <row r="152" ht="9.75" customHeight="1"/>
    <row r="153" ht="9.75" customHeight="1"/>
    <row r="154" ht="9.75" customHeight="1"/>
    <row r="155" ht="9.75" customHeight="1"/>
    <row r="156" ht="9.75" customHeight="1"/>
    <row r="157" ht="9.75" customHeight="1"/>
    <row r="158" ht="9.75" customHeight="1"/>
    <row r="159" ht="9.75" customHeight="1"/>
    <row r="160" ht="9.75" customHeight="1"/>
    <row r="161" ht="9.75" customHeight="1"/>
    <row r="162" ht="9.75" customHeight="1"/>
    <row r="163" ht="9.75" customHeight="1"/>
    <row r="164" ht="9.75" customHeight="1"/>
    <row r="165" ht="9.75" customHeight="1"/>
    <row r="166" ht="9.75" customHeight="1"/>
    <row r="167" ht="9.75" customHeight="1"/>
    <row r="168" ht="9.75" customHeight="1"/>
    <row r="169" ht="9.75" customHeight="1"/>
    <row r="170" ht="9.75" customHeight="1"/>
    <row r="171" ht="9.75" customHeight="1"/>
    <row r="172" ht="9.75" customHeight="1"/>
    <row r="173" ht="9.75" customHeight="1"/>
    <row r="174" ht="9.75" customHeight="1"/>
    <row r="175" ht="9.75" customHeight="1"/>
    <row r="176" ht="9.75" customHeight="1"/>
    <row r="177" ht="9.75" customHeight="1"/>
    <row r="178" ht="9.75" customHeight="1"/>
    <row r="179" ht="9.75" customHeight="1"/>
    <row r="180" ht="9.75" customHeight="1"/>
    <row r="181" ht="9.75" customHeight="1"/>
    <row r="182" ht="9.75" customHeight="1"/>
    <row r="183" ht="9.75" customHeight="1"/>
    <row r="184" ht="9.75" customHeight="1"/>
    <row r="185" ht="9.75" customHeight="1"/>
    <row r="186" ht="9.75" customHeight="1"/>
    <row r="187" ht="9.75" customHeight="1"/>
    <row r="188" ht="9.75" customHeight="1"/>
    <row r="189" ht="9.75" customHeight="1"/>
    <row r="190" ht="9.75" customHeight="1"/>
    <row r="191" ht="9.75" customHeight="1"/>
    <row r="192" ht="9.75" customHeight="1"/>
    <row r="193" ht="9.75" customHeight="1"/>
    <row r="194" ht="9.75" customHeight="1"/>
    <row r="195" ht="9.75" customHeight="1"/>
    <row r="196" ht="9.75" customHeight="1"/>
    <row r="197" ht="9.75" customHeight="1"/>
    <row r="198" ht="9.75" customHeight="1"/>
    <row r="199" ht="9.75" customHeight="1"/>
    <row r="200" ht="9.75" customHeight="1"/>
    <row r="201" ht="9.75" customHeight="1"/>
    <row r="202" ht="9.75" customHeight="1"/>
    <row r="203" ht="9.75" customHeight="1"/>
    <row r="204" ht="9.75" customHeight="1"/>
    <row r="205" ht="9.75" customHeight="1"/>
    <row r="206" ht="9.75" customHeight="1"/>
    <row r="207" ht="9.75" customHeight="1"/>
    <row r="208" ht="9.75" customHeight="1"/>
    <row r="209" ht="9.75" customHeight="1"/>
    <row r="210" ht="9.75" customHeight="1"/>
    <row r="211" ht="9.75" customHeight="1"/>
    <row r="212" ht="9.75" customHeight="1"/>
    <row r="213" ht="9.75" customHeight="1"/>
    <row r="214" ht="9.75" customHeight="1"/>
    <row r="215" ht="9.75" customHeight="1"/>
    <row r="216" ht="9.75" customHeight="1"/>
    <row r="217" ht="9.75" customHeight="1"/>
    <row r="218" ht="9.75" customHeight="1"/>
    <row r="219" ht="9.75" customHeight="1"/>
    <row r="220" ht="9.75" customHeight="1"/>
    <row r="221" ht="9.75" customHeight="1"/>
    <row r="222" ht="9.75" customHeight="1"/>
    <row r="223" ht="9.75" customHeight="1"/>
    <row r="224" ht="9.75" customHeight="1"/>
    <row r="225" ht="9.75" customHeight="1"/>
    <row r="226" ht="9.75" customHeight="1"/>
    <row r="227" ht="9.75" customHeight="1"/>
    <row r="228" ht="9.75" customHeight="1"/>
    <row r="229" ht="9.75" customHeight="1"/>
    <row r="230" ht="9.75" customHeight="1"/>
    <row r="231" ht="9.75" customHeight="1"/>
    <row r="232" ht="9.75" customHeight="1"/>
    <row r="233" ht="9.75" customHeight="1"/>
    <row r="234" ht="9.75" customHeight="1"/>
    <row r="235" ht="9.75" customHeight="1"/>
    <row r="236" ht="9.75" customHeight="1"/>
    <row r="237" ht="9.75" customHeight="1"/>
    <row r="238" ht="9.75" customHeight="1"/>
    <row r="239" ht="9.75" customHeight="1"/>
    <row r="240" ht="9.75" customHeight="1"/>
    <row r="241" ht="9.75" customHeight="1"/>
    <row r="242" ht="9.75" customHeight="1"/>
    <row r="243" ht="9.75" customHeight="1"/>
    <row r="244" ht="9.75" customHeight="1"/>
    <row r="245" ht="9.75" customHeight="1"/>
    <row r="246" ht="9.75" customHeight="1"/>
    <row r="247" ht="9.75" customHeight="1"/>
    <row r="248" ht="9.75" customHeight="1"/>
    <row r="249" ht="9.75" customHeight="1"/>
    <row r="250" ht="9.75" customHeight="1"/>
    <row r="251" ht="9.75" customHeight="1"/>
    <row r="252" ht="9.75" customHeight="1"/>
    <row r="253" ht="9.75" customHeight="1"/>
    <row r="254" ht="9.75" customHeight="1"/>
    <row r="255" ht="9.75" customHeight="1"/>
    <row r="256" ht="9.75" customHeight="1"/>
    <row r="257" ht="9.75" customHeight="1"/>
    <row r="258" ht="9.75" customHeight="1"/>
    <row r="259" ht="9.75" customHeight="1"/>
    <row r="260" ht="9.75" customHeight="1"/>
    <row r="261" ht="9.75" customHeight="1"/>
    <row r="262" ht="9.75" customHeight="1"/>
    <row r="263" ht="9.75" customHeight="1"/>
    <row r="264" ht="9.75" customHeight="1"/>
    <row r="265" ht="9.75" customHeight="1"/>
    <row r="266" ht="9.75" customHeight="1"/>
    <row r="267" ht="9.75" customHeight="1"/>
    <row r="268" ht="9.75" customHeight="1"/>
    <row r="269" ht="9.75" customHeight="1"/>
    <row r="270" ht="9.75" customHeight="1"/>
    <row r="271" ht="9.75" customHeight="1"/>
    <row r="272" ht="9.75" customHeight="1"/>
    <row r="273" ht="9.75" customHeight="1"/>
    <row r="274" ht="9.75" customHeight="1"/>
    <row r="275" ht="9.75" customHeight="1"/>
    <row r="276" ht="9.75" customHeight="1"/>
    <row r="277" ht="9.75" customHeight="1"/>
    <row r="278" ht="9.75" customHeight="1"/>
    <row r="279" ht="9.75" customHeight="1"/>
    <row r="280" ht="9.75" customHeight="1"/>
    <row r="281" ht="9.75" customHeight="1"/>
    <row r="282" ht="9.75" customHeight="1"/>
    <row r="283" ht="9.75" customHeight="1"/>
    <row r="284" ht="9.75" customHeight="1"/>
    <row r="285" ht="9.75" customHeight="1"/>
    <row r="286" ht="9.75" customHeight="1"/>
    <row r="287" ht="9.75" customHeight="1"/>
    <row r="288" ht="9.75" customHeight="1"/>
    <row r="289" ht="9.75" customHeight="1"/>
    <row r="290" ht="9.75" customHeight="1"/>
    <row r="291" ht="9.75" customHeight="1"/>
    <row r="292" ht="9.75" customHeight="1"/>
    <row r="293" ht="9.75" customHeight="1"/>
    <row r="294" ht="9.75" customHeight="1"/>
    <row r="295" ht="9.75" customHeight="1"/>
    <row r="296" ht="9.75" customHeight="1"/>
    <row r="297" ht="9.75" customHeight="1"/>
    <row r="298" ht="9.75" customHeight="1"/>
    <row r="299" ht="9.75" customHeight="1"/>
    <row r="300" ht="9.75" customHeight="1"/>
    <row r="301" ht="9.75" customHeight="1"/>
    <row r="302" ht="9.75" customHeight="1"/>
    <row r="303" ht="9.75" customHeight="1"/>
    <row r="304" ht="9.75" customHeight="1"/>
    <row r="305" ht="9.75" customHeight="1"/>
    <row r="306" ht="9.75" customHeight="1"/>
    <row r="307" ht="9.75" customHeight="1"/>
    <row r="308" ht="9.75" customHeight="1"/>
    <row r="309" ht="9.75" customHeight="1"/>
    <row r="310" ht="9.75" customHeight="1"/>
    <row r="311" ht="9.75" customHeight="1"/>
    <row r="312" ht="9.75" customHeight="1"/>
    <row r="313" ht="9.75" customHeight="1"/>
    <row r="314" ht="9.75" customHeight="1"/>
    <row r="315" ht="9.75" customHeight="1"/>
    <row r="316" ht="9.75" customHeight="1"/>
    <row r="317" ht="9.75" customHeight="1"/>
    <row r="318" ht="9.75" customHeight="1"/>
    <row r="319" ht="9.75" customHeight="1"/>
    <row r="320"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sheetData>
  <drawing r:id="rId1"/>
</worksheet>
</file>